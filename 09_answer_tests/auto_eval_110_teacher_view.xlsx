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caf1d82bd7465c" /></Relationships>
</file>

<file path=xl/workbook.xml><?xml version="1.0" encoding="utf-8"?>
<x:workbook xmlns:x="http://schemas.openxmlformats.org/spreadsheetml/2006/main">
  <x:sheets>
    <x:sheet xmlns:r="http://schemas.openxmlformats.org/officeDocument/2006/relationships" name="1_요약" sheetId="1" r:id="Rf2cac9d113464fb1"/>
    <x:sheet xmlns:r="http://schemas.openxmlformats.org/officeDocument/2006/relationships" name="2_전체평가_Q001_Q110" sheetId="2" r:id="Rf6e6536ecae04888"/>
    <x:sheet xmlns:r="http://schemas.openxmlformats.org/officeDocument/2006/relationships" name="3_검토필요" sheetId="3" r:id="Rc6f544d200c24506"/>
    <x:sheet xmlns:r="http://schemas.openxmlformats.org/officeDocument/2006/relationships" name="4_분류별통계" sheetId="4" r:id="Rb7680b2ae1dc4023"/>
    <x:sheet xmlns:r="http://schemas.openxmlformats.org/officeDocument/2006/relationships" name="5_Q001_Q030_변환확인" sheetId="5" r:id="R4c0c89612f12458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4">
    <x:font>
      <x:sz val="11"/>
      <x:name val="Carlito"/>
    </x:font>
    <x:font>
      <x:b/>
      <x:sz val="16"/>
      <x:color rgb="FFFFFFFF"/>
      <x:name val="Carlito"/>
    </x:font>
    <x:font>
      <x:b/>
      <x:sz val="10"/>
      <x:color rgb="FFFFFFFF"/>
      <x:name val="Carlito"/>
    </x:font>
    <x:font>
      <x:sz val="10"/>
      <x:color rgb="FF1F2937"/>
      <x:name val="Carlito"/>
    </x:font>
  </x:fonts>
  <x:fills count="4">
    <x:fill>
      <x:patternFill patternType="none"/>
    </x:fill>
    <x:fill>
      <x:patternFill patternType="gray125"/>
    </x:fill>
    <x:fill>
      <x:patternFill patternType="solid">
        <x:fgColor rgb="FF17365D"/>
      </x:patternFill>
    </x:fill>
    <x:fill>
      <x:patternFill patternType="solid">
        <x:fgColor rgb="FF1F4E79"/>
      </x:patternFill>
    </x:fill>
  </x:fills>
  <x:borders count="2">
    <x:border/>
    <x:border>
      <x:left style="thin">
        <x:color rgb="FFD9DEE8"/>
      </x:left>
      <x:right style="thin">
        <x:color rgb="FFD9DEE8"/>
      </x:right>
      <x:top style="thin">
        <x:color rgb="FFD9DEE8"/>
      </x:top>
      <x:bottom style="thin">
        <x:color rgb="FFD9DEE8"/>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200" fontId="3" fillId="0" borderId="1" xfId="0" applyNumberFormat="1" applyFont="1" applyFill="1" applyBorder="1" applyAlignment="1">
      <x:alignment vertical="center" wrapText="1"/>
    </x:xf>
    <x:xf numFmtId="201" fontId="3"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cellXfs>
  <x:cellStyles count="1">
    <x:cellStyle name="Normal" xfId="0"/>
  </x:cellStyles>
  <x:dxfs count="51">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4CCCC"/>
        </x:patternFill>
      </x:fill>
    </x:dxf>
    <x:dxf>
      <x:fill>
        <x:patternFill patternType="solid">
          <x:bgColor rgb="FFD9EAD3"/>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4CCCC"/>
        </x:patternFill>
      </x:fill>
    </x:dxf>
    <x:dxf>
      <x:fill>
        <x:patternFill patternType="solid">
          <x:bgColor rgb="FFD9EAD3"/>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4CC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384c98260b4e19" /><Relationship Type="http://schemas.openxmlformats.org/officeDocument/2006/relationships/theme" Target="/xl/theme/theme1.xml" Id="R5ea2caa802cc4fb5" /><Relationship Type="http://schemas.openxmlformats.org/officeDocument/2006/relationships/sharedStrings" Target="/xl/sharedStrings.xml" Id="Rec3684f8dacd47fc" /><Relationship Type="http://schemas.openxmlformats.org/officeDocument/2006/relationships/worksheet" Target="/xl/worksheets/sheet1.xml" Id="Rf2cac9d113464fb1" /><Relationship Type="http://schemas.openxmlformats.org/officeDocument/2006/relationships/worksheet" Target="/xl/worksheets/sheet2.xml" Id="Rf6e6536ecae04888" /><Relationship Type="http://schemas.openxmlformats.org/officeDocument/2006/relationships/worksheet" Target="/xl/worksheets/sheet3.xml" Id="Rc6f544d200c24506" /><Relationship Type="http://schemas.openxmlformats.org/officeDocument/2006/relationships/worksheet" Target="/xl/worksheets/sheet4.xml" Id="Rb7680b2ae1dc4023" /><Relationship Type="http://schemas.openxmlformats.org/officeDocument/2006/relationships/worksheet" Target="/xl/worksheets/sheet5.xml" Id="R4c0c89612f12458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85d140651a34e0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평가 항목별 평균 점수</a:t>
            </a:r>
          </a:p>
        </c:rich>
      </c:tx>
      <c:overlay val="0"/>
    </c:title>
    <c:autoTitleDeleted val="0"/>
    <c:plotArea>
      <c:barChart>
        <c:barDir val="col"/>
        <c:varyColors val="0"/>
        <c:ser>
          <c:idx val="0"/>
          <c:order val="0"/>
          <c:tx>
            <c:v>평균 점수</c:v>
          </c:tx>
          <c:dLbls/>
          <c:cat>
            <c:strRef>
              <c:f>'1_요약'!$A$18:$A$22</c:f>
              <c:strCache>
                <c:ptCount val="0"/>
              </c:strCache>
            </c:strRef>
          </c:cat>
          <c:val>
            <c:numRef>
              <c:f>'1_요약'!$B$18:$B$22</c:f>
              <c:numCache>
                <c:formatCode>0.00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5d140651a34e00"/>
        </a:graphicData>
      </a:graphic>
    </xdr:graphicFrame>
    <xdr:clientData/>
  </xdr:twoCellAnchor>
</xdr:wsDr>
</file>

<file path=xl/tables/table1.xml><?xml version="1.0" encoding="utf-8"?>
<x:table xmlns:x="http://schemas.openxmlformats.org/spreadsheetml/2006/main" id="1" name="AllEvaluation" displayName="AllEvaluation" ref="A1:O111" headerRowCount="1" totalsRowCount="0" totalsRowShown="0">
  <x:tableColumns count="15">
    <x:tableColumn id="1" name="question_id"/>
    <x:tableColumn id="2" name="category"/>
    <x:tableColumn id="3" name="question"/>
    <x:tableColumn id="4" name="검색_적합성"/>
    <x:tableColumn id="5" name="근거_기반성"/>
    <x:tableColumn id="6" name="안전법령_판단정확성"/>
    <x:tableColumn id="7" name="실무성"/>
    <x:tableColumn id="8" name="총점"/>
    <x:tableColumn id="9" name="판정"/>
    <x:tableColumn id="10" name="검토필요"/>
    <x:tableColumn id="11" name="평가_근거"/>
    <x:tableColumn id="12" name="retrieved_sources"/>
    <x:tableColumn id="13" name="retrieved_chunk_ids"/>
    <x:tableColumn id="14" name="answer_draft"/>
    <x:tableColumn id="15" name="평가방식"/>
  </x:tableColumns>
  <x:tableStyleInfo name="TableStyleMedium2" showFirstColumn="0" showLastColumn="0" showRowStripes="1" showColumnStripes="0"/>
</x:table>
</file>

<file path=xl/tables/table2.xml><?xml version="1.0" encoding="utf-8"?>
<x:table xmlns:x="http://schemas.openxmlformats.org/spreadsheetml/2006/main" id="2" name="ReviewNeeded" displayName="ReviewNeeded" ref="A1:K91" headerRowCount="1" totalsRowCount="0" totalsRowShown="0">
  <x:tableColumns count="11">
    <x:tableColumn id="1" name="question_id"/>
    <x:tableColumn id="2" name="category"/>
    <x:tableColumn id="3" name="question"/>
    <x:tableColumn id="4" name="검색_적합성"/>
    <x:tableColumn id="5" name="근거_기반성"/>
    <x:tableColumn id="6" name="안전법령_판단정확성"/>
    <x:tableColumn id="7" name="실무성"/>
    <x:tableColumn id="8" name="총점"/>
    <x:tableColumn id="9" name="판정"/>
    <x:tableColumn id="10" name="평가_근거"/>
    <x:tableColumn id="11" name="retrieved_sources"/>
  </x:tableColumns>
  <x:tableStyleInfo name="TableStyleMedium2" showFirstColumn="0" showLastColumn="0" showRowStripes="1" showColumnStripes="0"/>
</x:table>
</file>

<file path=xl/tables/table3.xml><?xml version="1.0" encoding="utf-8"?>
<x:table xmlns:x="http://schemas.openxmlformats.org/spreadsheetml/2006/main" id="3" name="CategoryStats" displayName="CategoryStats" ref="A1:H41" headerRowCount="1" totalsRowCount="0" totalsRowShown="0">
  <x:tableColumns count="8">
    <x:tableColumn id="1" name="category"/>
    <x:tableColumn id="2" name="문항수"/>
    <x:tableColumn id="3" name="평균총점"/>
    <x:tableColumn id="4" name="검색적합성평균"/>
    <x:tableColumn id="5" name="근거기반성평균"/>
    <x:tableColumn id="6" name="안전법령판단정확성평균"/>
    <x:tableColumn id="7" name="실무성평균"/>
    <x:tableColumn id="8" name="검토필요Y"/>
  </x:tableColumns>
  <x:tableStyleInfo name="TableStyleMedium2" showFirstColumn="0" showLastColumn="0" showRowStripes="1" showColumnStripes="0"/>
</x:table>
</file>

<file path=xl/tables/table4.xml><?xml version="1.0" encoding="utf-8"?>
<x:table xmlns:x="http://schemas.openxmlformats.org/spreadsheetml/2006/main" id="4" name="ConversionCheck" displayName="ConversionCheck" ref="A1:O31" headerRowCount="1" totalsRowCount="0" totalsRowShown="0">
  <x:tableColumns count="15">
    <x:tableColumn id="1" name="question_id"/>
    <x:tableColumn id="2" name="category"/>
    <x:tableColumn id="3" name="기존 검색정확도"/>
    <x:tableColumn id="4" name="기존 답변정확도"/>
    <x:tableColumn id="5" name="기존 근거성"/>
    <x:tableColumn id="6" name="기존 환각억제"/>
    <x:tableColumn id="7" name="기존 실무성"/>
    <x:tableColumn id="8" name="검색_적합성"/>
    <x:tableColumn id="9" name="근거_기반성"/>
    <x:tableColumn id="10" name="안전법령_판단정확성"/>
    <x:tableColumn id="11" name="실무성"/>
    <x:tableColumn id="12" name="총점"/>
    <x:tableColumn id="13" name="판정"/>
    <x:tableColumn id="14" name="검토필요"/>
    <x:tableColumn id="15" name="환산 근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123e6ea811b4659" /></Relationships>
</file>

<file path=xl/worksheets/_rels/sheet2.xml.rels>&#65279;<?xml version="1.0" encoding="utf-8"?><Relationships xmlns="http://schemas.openxmlformats.org/package/2006/relationships"><Relationship Type="http://schemas.openxmlformats.org/officeDocument/2006/relationships/table" Target="/xl/tables/table1.xml" Id="R493bf567bda84b19" /></Relationships>
</file>

<file path=xl/worksheets/_rels/sheet3.xml.rels>&#65279;<?xml version="1.0" encoding="utf-8"?><Relationships xmlns="http://schemas.openxmlformats.org/package/2006/relationships"><Relationship Type="http://schemas.openxmlformats.org/officeDocument/2006/relationships/table" Target="/xl/tables/table2.xml" Id="R001a49fc69684dfa" /></Relationships>
</file>

<file path=xl/worksheets/_rels/sheet4.xml.rels>&#65279;<?xml version="1.0" encoding="utf-8"?><Relationships xmlns="http://schemas.openxmlformats.org/package/2006/relationships"><Relationship Type="http://schemas.openxmlformats.org/officeDocument/2006/relationships/table" Target="/xl/tables/table3.xml" Id="Rbec08a13e8414218" /></Relationships>
</file>

<file path=xl/worksheets/_rels/sheet5.xml.rels>&#65279;<?xml version="1.0" encoding="utf-8"?><Relationships xmlns="http://schemas.openxmlformats.org/package/2006/relationships"><Relationship Type="http://schemas.openxmlformats.org/officeDocument/2006/relationships/table" Target="/xl/tables/table4.xml" Id="Rd7b55fa18c224ccd"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85" hidden="0" customWidth="1"/>
    <x:col min="3" max="3" width="4" hidden="0" customWidth="1"/>
    <x:col min="4" max="4" width="15" hidden="0" customWidth="1"/>
    <x:col min="5" max="5" width="15" hidden="0" customWidth="1"/>
  </x:cols>
  <x:sheetData>
    <x:row r="1" ht="30" customHeight="1">
      <x:c r="A1" s="3" t="str">
        <x:v>광산 안전 LLM-RAG 가상 안전관리자 통합 평가 요약</x:v>
      </x:c>
      <x:c r="B1" s="3"/>
      <x:c r="C1" s="3"/>
      <x:c r="D1" s="3"/>
      <x:c r="E1" s="3"/>
    </x:row>
    <x:row r="3">
      <x:c r="A3" s="9" t="str">
        <x:v>항목</x:v>
      </x:c>
      <x:c r="B3" s="9" t="str">
        <x:v>내용</x:v>
      </x:c>
    </x:row>
    <x:row r="4">
      <x:c r="A4" s="13" t="str">
        <x:v>평가 범위</x:v>
      </x:c>
      <x:c r="B4" s="13" t="str">
        <x:v>Q001~Q110 전체 110문항</x:v>
      </x:c>
    </x:row>
    <x:row r="5">
      <x:c r="A5" s="13" t="str">
        <x:v>연구 주제</x:v>
      </x:c>
      <x:c r="B5" s="13" t="str">
        <x:v>광산 안전 지침 및 중대재해처벌법 대응을 위한 LLM-RAG 기반 가상 안전관리자 개발</x:v>
      </x:c>
    </x:row>
    <x:row r="6">
      <x:c r="A6" s="13" t="str">
        <x:v>평가 체계</x:v>
      </x:c>
      <x:c r="B6" s="13" t="str">
        <x:v>검색 적합성·근거 기반성·안전법령 판단 정확성·실무성 각 25점 / 총 100점</x:v>
      </x:c>
    </x:row>
    <x:row r="7">
      <x:c r="A7" s="13" t="str">
        <x:v>Q001~Q030</x:v>
      </x:c>
      <x:c r="B7" s="13" t="str">
        <x:v>기존 수동평가 5개 항목을 4개 기준·100점 만점으로 표준화</x:v>
      </x:c>
    </x:row>
    <x:row r="8">
      <x:c r="A8" s="13" t="str">
        <x:v>Q031~Q110</x:v>
      </x:c>
      <x:c r="B8" s="13" t="str">
        <x:v>기존 rule-based 자동평가 결과 통합</x:v>
      </x:c>
    </x:row>
    <x:row r="9">
      <x:c r="A9" s="13" t="str">
        <x:v>전체 문항 수</x:v>
      </x:c>
      <x:c r="B9" s="13" t="n">
        <x:f>COUNTA('2_전체평가_Q001_Q110'!$A$2:$A$111)</x:f>
        <x:v>110</x:v>
      </x:c>
    </x:row>
    <x:row r="10">
      <x:c r="A10" s="13" t="str">
        <x:v>평균 총점</x:v>
      </x:c>
      <x:c r="B10" s="14" t="n">
        <x:f>AVERAGE('2_전체평가_Q001_Q110'!$H$2:$H$111)</x:f>
        <x:v>73.86363636363636</x:v>
      </x:c>
    </x:row>
    <x:row r="11">
      <x:c r="A11" s="13" t="str">
        <x:v>매우 우수</x:v>
      </x:c>
      <x:c r="B11" s="13" t="n">
        <x:f>COUNTIF('2_전체평가_Q001_Q110'!$I$2:$I$111,"매우 우수")</x:f>
        <x:v>14</x:v>
      </x:c>
    </x:row>
    <x:row r="12">
      <x:c r="A12" s="13" t="str">
        <x:v>우수</x:v>
      </x:c>
      <x:c r="B12" s="13" t="n">
        <x:f>COUNTIF('2_전체평가_Q001_Q110'!$I$2:$I$111,"우수")</x:f>
        <x:v>11</x:v>
      </x:c>
    </x:row>
    <x:row r="13">
      <x:c r="A13" s="13" t="str">
        <x:v>보통</x:v>
      </x:c>
      <x:c r="B13" s="13" t="n">
        <x:f>COUNTIF('2_전체평가_Q001_Q110'!$I$2:$I$111,"보통")</x:f>
        <x:v>45</x:v>
      </x:c>
    </x:row>
    <x:row r="14">
      <x:c r="A14" s="13" t="str">
        <x:v>검토필요 Y</x:v>
      </x:c>
      <x:c r="B14" s="13" t="n">
        <x:f>COUNTIF('2_전체평가_Q001_Q110'!$J$2:$J$111,"Y")</x:f>
        <x:v>90</x:v>
      </x:c>
    </x:row>
    <x:row r="17">
      <x:c r="A17" s="9" t="str">
        <x:v>평가 항목</x:v>
      </x:c>
      <x:c r="B17" s="9" t="str">
        <x:v>평균 점수</x:v>
      </x:c>
    </x:row>
    <x:row r="18">
      <x:c r="A18" s="13" t="str">
        <x:v>검색 적합성</x:v>
      </x:c>
      <x:c r="B18" s="14" t="n">
        <x:f>AVERAGE('2_전체평가_Q001_Q110'!$D$2:$D$111)</x:f>
        <x:v>15.445454545454545</x:v>
      </x:c>
    </x:row>
    <x:row r="19">
      <x:c r="A19" s="13" t="str">
        <x:v>근거 기반성</x:v>
      </x:c>
      <x:c r="B19" s="14" t="n">
        <x:f>AVERAGE('2_전체평가_Q001_Q110'!$E$2:$E$111)</x:f>
        <x:v>19.62727272727273</x:v>
      </x:c>
    </x:row>
    <x:row r="20">
      <x:c r="A20" s="13" t="str">
        <x:v>안전·법령 판단 정확성</x:v>
      </x:c>
      <x:c r="B20" s="14" t="n">
        <x:f>AVERAGE('2_전체평가_Q001_Q110'!$F$2:$F$111)</x:f>
        <x:v>19.581818181818182</x:v>
      </x:c>
    </x:row>
    <x:row r="21">
      <x:c r="A21" s="13" t="str">
        <x:v>실무성</x:v>
      </x:c>
      <x:c r="B21" s="14" t="n">
        <x:f>AVERAGE('2_전체평가_Q001_Q110'!$G$2:$G$111)</x:f>
        <x:v>19.20909090909091</x:v>
      </x:c>
    </x:row>
    <x:row r="22">
      <x:c r="A22" s="13" t="str">
        <x:v>총점</x:v>
      </x:c>
      <x:c r="B22" s="14" t="n">
        <x:f>AVERAGE('2_전체평가_Q001_Q110'!$H$2:$H$111)</x:f>
        <x:v>73.86363636363636</x:v>
      </x:c>
    </x:row>
  </x:sheetData>
  <x:mergeCells>
    <x:mergeCell ref="A1:E1"/>
  </x:mergeCells>
  <x:pageMargins left="0.7" right="0.7" top="0.75" bottom="0.75" header="0.3" footer="0.3"/>
  <x:drawing xmlns:r="http://schemas.openxmlformats.org/officeDocument/2006/relationships" r:id="R0123e6ea811b4659"/>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50" hidden="0" customWidth="1"/>
    <x:col min="4" max="4" width="12" hidden="0" customWidth="1"/>
    <x:col min="5" max="5" width="12" hidden="0" customWidth="1"/>
    <x:col min="6" max="6" width="18" hidden="0" customWidth="1"/>
    <x:col min="7" max="7" width="10" hidden="0" customWidth="1"/>
    <x:col min="8" max="8" width="10" hidden="0" customWidth="1"/>
    <x:col min="9" max="9" width="12" hidden="0" customWidth="1"/>
    <x:col min="10" max="10" width="12" hidden="0" customWidth="1"/>
    <x:col min="11" max="11" width="58" hidden="0" customWidth="1"/>
    <x:col min="12" max="12" width="48" hidden="0" customWidth="1"/>
    <x:col min="13" max="13" width="36" hidden="0" customWidth="1"/>
    <x:col min="14" max="14" width="70" hidden="0" customWidth="1"/>
    <x:col min="15" max="15" width="28" hidden="0" customWidth="1"/>
  </x:cols>
  <x:sheetData>
    <x:row r="1">
      <x:c r="A1" s="9" t="str">
        <x:v>question_id</x:v>
      </x:c>
      <x:c r="B1" s="9" t="str">
        <x:v>category</x:v>
      </x:c>
      <x:c r="C1" s="9" t="str">
        <x:v>question</x:v>
      </x:c>
      <x:c r="D1" s="9" t="str">
        <x:v>검색_적합성</x:v>
      </x:c>
      <x:c r="E1" s="9" t="str">
        <x:v>근거_기반성</x:v>
      </x:c>
      <x:c r="F1" s="9" t="str">
        <x:v>안전법령_판단정확성</x:v>
      </x:c>
      <x:c r="G1" s="9" t="str">
        <x:v>실무성</x:v>
      </x:c>
      <x:c r="H1" s="9" t="str">
        <x:v>총점</x:v>
      </x:c>
      <x:c r="I1" s="9" t="str">
        <x:v>판정</x:v>
      </x:c>
      <x:c r="J1" s="9" t="str">
        <x:v>검토필요</x:v>
      </x:c>
      <x:c r="K1" s="9" t="str">
        <x:v>평가_근거</x:v>
      </x:c>
      <x:c r="L1" s="9" t="str">
        <x:v>retrieved_sources</x:v>
      </x:c>
      <x:c r="M1" s="9" t="str">
        <x:v>retrieved_chunk_ids</x:v>
      </x:c>
      <x:c r="N1" s="9" t="str">
        <x:v>answer_draft</x:v>
      </x:c>
      <x:c r="O1" s="9" t="str">
        <x:v>평가방식</x:v>
      </x:c>
    </x:row>
    <x:row r="2" ht="58" customHeight="1">
      <x:c r="A2" s="13" t="str">
        <x:v>Q001</x:v>
      </x:c>
      <x:c r="B2" s="13" t="str">
        <x:v>낙반/중대재해</x:v>
      </x:c>
      <x:c r="C2" s="13" t="str">
        <x:v>광산에서 작업자가 낙반으로 사망한 경우 사업주나 경영책임자가 확인해야 할 의무는 무엇인가?</x:v>
      </x:c>
      <x:c r="D2" s="15" t="n">
        <x:v>25</x:v>
      </x:c>
      <x:c r="E2" s="15" t="n">
        <x:v>23</x:v>
      </x:c>
      <x:c r="F2" s="15" t="n">
        <x:v>25</x:v>
      </x:c>
      <x:c r="G2" s="15" t="n">
        <x:v>25</x:v>
      </x:c>
      <x:c r="H2" s="15" t="n">
        <x:v>98</x:v>
      </x:c>
      <x:c r="I2" s="16" t="str">
        <x:v>매우 우수</x:v>
      </x:c>
      <x:c r="J2" s="13" t="str">
        <x:v>N</x:v>
      </x:c>
      <x:c r="K2" s="13" t="str">
        <x:v>기존 수동평가 환산: 검색정확도 5.0/5×5; 근거성 4.0/5와 환각억제 5.0/5 평균×5; 답변정확도 5.0/5×5; 실무성 5.0/5×5; 기존 메모: 낙반·붕락 위험 상황에 대해 광산안전기술기준, 광산안전법 시행규칙, 광산안전업무 처리지침이 적절히 검색되었다. 답변은 작업중지 검토, 출입통제, 근로자 대피, 천반 균열, 부석·낙석, 지보공 상태 확인 등 현장 조치를 구체적으로 제시하여 실무성이 높다. 다만 근거 문서의 세부 조항과 답변 내용의 직접 연결성이 더 강화되면 근거성이 더욱 향상될 수 있다.; 기존 수동평가 점수가 모두 확인되어 표준 환산 완료</x:v>
      </x:c>
      <x:c r="L2" s="13" t="str">
        <x:v>09_광산안전기술기준_제10차개정_2024-12-19.txt,08_광산안전법_시행규칙.txt,10_광산안전업무_처리지침_2025-35_latest.txt</x:v>
      </x:c>
      <x:c r="M2" s="13" t="str">
        <x:v>chunk_00333,chunk_00287,chunk_00347</x:v>
      </x:c>
      <x:c r="N2"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갱도 천반에서 균열이 보이고 작은 암석이 떨어지기 시작했는데, 현장 관리자가 작업을 계속해도 되는지 판단하려면 무엇을 확인해야 해? ## 즉시 판단 - 상황 유형: 낙반/붕락 - 낙반/붕락 위험이 의심되므로 작업을 계속하지 말고 즉시 작업중지 여부를 검토해야 합니다. 위험 구...</x:v>
      </x:c>
      <x:c r="O2" s="13" t="str">
        <x:v>기존 수동평가 5개 항목을 4개 기준·100점 만점으로 표준화</x:v>
      </x:c>
    </x:row>
    <x:row r="3" ht="58" customHeight="1">
      <x:c r="A3" s="13" t="str">
        <x:v>Q002</x:v>
      </x:c>
      <x:c r="B3" s="13" t="str">
        <x:v>낙반/지보</x:v>
      </x:c>
      <x:c r="C3" s="13" t="str">
        <x:v>채굴 작업 중 지보재가 변형되고 갱도 바닥에 낙석 흔적이 있는데, 작업 재개 전 어떤 점검 절차를 밟아야 해?</x:v>
      </x:c>
      <x:c r="D3" s="15" t="n">
        <x:v>20</x:v>
      </x:c>
      <x:c r="E3" s="15" t="n">
        <x:v>23</x:v>
      </x:c>
      <x:c r="F3" s="15" t="n">
        <x:v>25</x:v>
      </x:c>
      <x:c r="G3" s="15" t="n">
        <x:v>25</x:v>
      </x:c>
      <x:c r="H3" s="15" t="n">
        <x:v>93</x:v>
      </x:c>
      <x:c r="I3" s="16" t="str">
        <x:v>매우 우수</x:v>
      </x:c>
      <x:c r="J3" s="13" t="str">
        <x:v>N</x:v>
      </x:c>
      <x:c r="K3" s="13" t="str">
        <x:v>기존 수동평가 환산: 검색정확도 4.0/5×5; 근거성 4.0/5와 환각억제 5.0/5 평균×5; 답변정확도 5.0/5×5; 실무성 5.0/5×5; 기존 메모: 지보재 변형과 낙석 흔적이 있는 작업 재개 전 점검 상황에 대해 광산안전기술기준이 적절히 검색되었고, 답변은 작업중지 검토, 출입통제, 근로자 대피, 천반 균열, 부석·낙석 위험, 지보공 변형·손상 확인 등 현장 조치를 구체적으로 제시하였다. 다만 일부 검색 결과에 건설현장 추락사고 사례가 포함되어 질문과의 직접 관련성이 다소 낮아 검색정확도와 근거성은 일부 감점하였다.; 기존 수동평가 점수가 모두 확인되어 표준 환산 완료</x:v>
      </x:c>
      <x:c r="L3" s="13" t="str">
        <x:v>09_광산안전기술기준_제10차개정_2024-12-19.txt,09_광산안전기술기준_제10차개정_2024-12-19.txt,11_안전보건관리체계_구축_가이드북.txt</x:v>
      </x:c>
      <x:c r="M3" s="13" t="str">
        <x:v>chunk_00333,chunk_00303,chunk_00415</x:v>
      </x:c>
      <x:c r="N3"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채굴 작업 중 지보재가 변형되고 갱도 바닥에 낙석 흔적이 있는데, 작업 재개 전 어떤 점검 절차를 밟아야 해? ## 즉시 판단 - 상황 유형: 낙반/붕락 - 낙반/붕락 위험이 의심되므로 작업을 계속하지 말고 즉시 작업중지 여부를 검토해야 합니다. 위험 구역 출입통제, 근로자...</x:v>
      </x:c>
      <x:c r="O3" s="13" t="str">
        <x:v>기존 수동평가 5개 항목을 4개 기준·100점 만점으로 표준화</x:v>
      </x:c>
    </x:row>
    <x:row r="4" ht="58" customHeight="1">
      <x:c r="A4" s="13" t="str">
        <x:v>Q003</x:v>
      </x:c>
      <x:c r="B4" s="13" t="str">
        <x:v>발파</x:v>
      </x:c>
      <x:c r="C4" s="13" t="str">
        <x:v>발파 작업 전에 현장 관리자가 작업자와 주변 설비를 대상으로 확인해야 할 안전 체크리스트를 알려줘.</x:v>
      </x:c>
      <x:c r="D4" s="15" t="n">
        <x:v>25</x:v>
      </x:c>
      <x:c r="E4" s="15" t="n">
        <x:v>25</x:v>
      </x:c>
      <x:c r="F4" s="15" t="n">
        <x:v>20</x:v>
      </x:c>
      <x:c r="G4" s="15" t="n">
        <x:v>20</x:v>
      </x:c>
      <x:c r="H4" s="15" t="n">
        <x:v>90</x:v>
      </x:c>
      <x:c r="I4" s="16" t="str">
        <x:v>매우 우수</x:v>
      </x:c>
      <x:c r="J4" s="13" t="str">
        <x:v>N</x:v>
      </x:c>
      <x:c r="K4" s="13" t="str">
        <x:v>기존 수동평가 환산: 검색정확도 5.0/5×5; 근거성 5.0/5와 환각억제 5.0/5 평균×5; 답변정확도 4.0/5×5; 실무성 4.0/5×5; 기존 메모: 발파 작업 전 안전 체크리스트 질문에 대해 광산안전법 시행규칙, 광산안전기술기준, 광산안전업무 처리지침 등 광산 특화 문서가 적절히 검색되었다. 이전 테스트에서는 일반 안전관리 문서가 상위에 검색되었으나, 발파 유형 검색 보정 이후 광산 특화 문서 중심으로 검색 결과가 개선되었다. 답변은 위험구역 출입통제, 작업자 대피, 발파 책임자 또는 안전관리자 확인, 불발 확인 전 작업 금지, 후가스·낙반·부석 확인, 보고 및 기록 등 실무 조치를 제시하였다. 다만 질문이 발파 작업 전 체크리스트임에도 일부 내용이 불발 의심 상황 중심으로 제시되어 답변정확도와 실무성은 일부 감점하였다.; 기존 수동평가 점수가 모두 확인되어 표준 환산 완료</x:v>
      </x:c>
      <x:c r="L4" s="13" t="str">
        <x:v>08_광산안전법_시행규칙.txt,09_광산안전기술기준_제10차개정_2024-12-19.txt,10_광산안전업무_처리지침_2025-35_latest.txt</x:v>
      </x:c>
      <x:c r="M4" s="13" t="str">
        <x:v>chunk_00284,chunk_00303,chunk_00356</x:v>
      </x:c>
      <x:c r="N4"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발파 작업 전에 현장 관리자가 작업자와 주변 설비를 대상으로 확인해야 할 안전 체크리스트를 알려줘. ## 즉시 판단 - 상황 유형: 발파/불발 - 불발이 의심되면 작업자의 임의 접근을 금지하고 위험구역 출입통제와 대피를 유지해야 합니다. 발파 책임자 또는 안전관리자가 불발 여...</x:v>
      </x:c>
      <x:c r="O4" s="13" t="str">
        <x:v>기존 수동평가 5개 항목을 4개 기준·100점 만점으로 표준화</x:v>
      </x:c>
    </x:row>
    <x:row r="5" ht="58" customHeight="1">
      <x:c r="A5" s="13" t="str">
        <x:v>Q004</x:v>
      </x:c>
      <x:c r="B5" s="13" t="str">
        <x:v>발파/불발</x:v>
      </x:c>
      <x:c r="C5" s="13" t="str">
        <x:v>발파 후 불발이 의심되는 상황에서 굴진 작업자가 바로 접근하려고 하는데 관리자는 어떤 조치를 해야 해?</x:v>
      </x:c>
      <x:c r="D5" s="15" t="n">
        <x:v>25</x:v>
      </x:c>
      <x:c r="E5" s="15" t="n">
        <x:v>25</x:v>
      </x:c>
      <x:c r="F5" s="15" t="n">
        <x:v>25</x:v>
      </x:c>
      <x:c r="G5" s="15" t="n">
        <x:v>20</x:v>
      </x:c>
      <x:c r="H5" s="15" t="n">
        <x:v>95</x:v>
      </x:c>
      <x:c r="I5" s="16" t="str">
        <x:v>매우 우수</x:v>
      </x:c>
      <x:c r="J5" s="13" t="str">
        <x:v>N</x:v>
      </x:c>
      <x:c r="K5" s="13" t="str">
        <x:v>기존 수동평가 환산: 검색정확도 5.0/5×5; 근거성 5.0/5와 환각억제 5.0/5 평균×5; 답변정확도 5.0/5×5; 실무성 4.0/5×5; 기존 메모: 발파 후 불발 의심 상황에 대해 광산안전기술기준, 광산안전법 시행규칙, 광산안전업무 처리지침이 적절히 검색되었다. 답변은 작업자 임의 접근 금지, 위험구역 출입통제, 대피 유지, 발파 책임자 또는 안전관리자 확인, 불발 확인 전 굴진·정리 작업 금지, 후가스·메탄가스·낙반·부석 등 추가 위험 확인, 보고 및 기록 필요성을 제시하여 실무성이 높다. 발파·불발 검색 보정 이후 광산 특화 문서가 우선 검색되어 검색정확도와 근거성이 크게 향상되었다.; 기존 수동평가 점수가 모두 확인되어 표준 환산 완료</x:v>
      </x:c>
      <x:c r="L5" s="13" t="str">
        <x:v>09_광산안전기술기준_제10차개정_2024-12-19.txt,08_광산안전법_시행규칙.txt,10_광산안전업무_처리지침_2025-35_latest.txt</x:v>
      </x:c>
      <x:c r="M5" s="13" t="str">
        <x:v>chunk_00306,chunk_00284,chunk_00346</x:v>
      </x:c>
      <x:c r="N5"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발파 후 불발이 의심되는 상황에서 굴진 작업자가 바로 접근하려고 하는데 관리자는 어떤 조치를 해야 해? ## 즉시 판단 - 상황 유형: 발파/불발 - 불발이 의심되면 작업자의 임의 접근을 금지하고 위험구역 출입통제와 대피를 유지해야 합니다. 발파 책임자 또는 안전관리자가 불발...</x:v>
      </x:c>
      <x:c r="O5" s="13" t="str">
        <x:v>기존 수동평가 5개 항목을 4개 기준·100점 만점으로 표준화</x:v>
      </x:c>
    </x:row>
    <x:row r="6" ht="58" customHeight="1">
      <x:c r="A6" s="13" t="str">
        <x:v>Q005</x:v>
      </x:c>
      <x:c r="B6" s="13" t="str">
        <x:v>환기</x:v>
      </x:c>
      <x:c r="C6" s="13" t="str">
        <x:v>갱내 작업을 시작하기 전에 환기 상태가 충분한지 관리자가 확인해야 할 기준과 절차는 뭐야?</x:v>
      </x:c>
      <x:c r="D6" s="15" t="n">
        <x:v>15</x:v>
      </x:c>
      <x:c r="E6" s="15" t="n">
        <x:v>20</x:v>
      </x:c>
      <x:c r="F6" s="15" t="n">
        <x:v>20</x:v>
      </x:c>
      <x:c r="G6" s="15" t="n">
        <x:v>20</x:v>
      </x:c>
      <x:c r="H6" s="15" t="n">
        <x:v>75</x:v>
      </x:c>
      <x:c r="I6" s="16" t="str">
        <x:v>보통</x:v>
      </x:c>
      <x:c r="J6" s="13" t="str">
        <x:v>Y</x:v>
      </x:c>
      <x:c r="K6" s="13" t="str">
        <x:v>기존 수동평가 환산: 검색정확도 3.0/5×5; 근거성 3.0/5와 환각억제 5.0/5 평균×5; 답변정확도 4.0/5×5; 실무성 4.0/5×5; 기존 메모: 갱내 작업 전 환기 상태 확인 질문에 대해 시스템은 환기/유해가스 유형으로 적절히 분류하고, 작업중지, 대피, 메탄·산소·일산화탄소 측정, 환기설비 상태 확인, 측정 결과 확인 후 작업 재개 판단 등 기본적인 현장 조치를 제시하였다. 다만 검색된 근거 문서가 산업안전보건법과 산업안전보건법 시행규칙 위주로 나타나, 갱내 환기와 유해가스 관리에 직접적인 광산안전기술기준이나 광산안전업무 처리지침이 상위에 검색되지 않은 점은 아쉽다. 따라서 답변의 방향성과 실무성은 양호하지만 검색정확도와 근거성은 일부 감점하였다.; 총점 80점 미만 또는 세부 기준 15점 미만으로 수동 검토 권장</x:v>
      </x:c>
      <x:c r="L6" s="13" t="str">
        <x:v>03_산업안전보건법.txt,05_산업안전보건법_시행규칙.txt,05_산업안전보건법_시행규칙.txt</x:v>
      </x:c>
      <x:c r="M6" s="13" t="str">
        <x:v>chunk_00069,chunk_00159,chunk_00208</x:v>
      </x:c>
      <x:c r="N6"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갱내 작업을 시작하기 전에 환기 상태가 충분한지 관리자가 확인해야 할 기준과 절차는 뭐야? ## 즉시 판단 - 상황 유형: 환기/유해가스 - 유해가스, 산소부족, 환기 이상이 의심되면 작업을 계속하지 말고 가스 측정, 환기, 대피를 우선해야 합니다. ## 우선 조치 - 작업을...</x:v>
      </x:c>
      <x:c r="O6" s="13" t="str">
        <x:v>기존 수동평가 5개 항목을 4개 기준·100점 만점으로 표준화</x:v>
      </x:c>
    </x:row>
    <x:row r="7" ht="58" customHeight="1">
      <x:c r="A7" s="13" t="str">
        <x:v>Q006</x:v>
      </x:c>
      <x:c r="B7" s="13" t="str">
        <x:v>환기/비상</x:v>
      </x:c>
      <x:c r="C7" s="13" t="str">
        <x:v>정전으로 주 환기설비가 멈췄을 때 갱내 작업자를 어떻게 대피시키고 작업 재개는 언제 판단해야 해?</x:v>
      </x:c>
      <x:c r="D7" s="15" t="n">
        <x:v>25</x:v>
      </x:c>
      <x:c r="E7" s="15" t="n">
        <x:v>23</x:v>
      </x:c>
      <x:c r="F7" s="15" t="n">
        <x:v>25</x:v>
      </x:c>
      <x:c r="G7" s="15" t="n">
        <x:v>25</x:v>
      </x:c>
      <x:c r="H7" s="15" t="n">
        <x:v>98</x:v>
      </x:c>
      <x:c r="I7" s="16" t="str">
        <x:v>매우 우수</x:v>
      </x:c>
      <x:c r="J7" s="13" t="str">
        <x:v>N</x:v>
      </x:c>
      <x:c r="K7" s="13" t="str">
        <x:v>기존 수동평가 환산: 검색정확도 5.0/5×5; 근거성 4.0/5와 환각억제 5.0/5 평균×5; 답변정확도 5.0/5×5; 실무성 5.0/5×5; 기존 메모: 정전으로 주 환기설비가 정지된 상황에 대해 시스템은 환기/유해가스 유형으로 적절히 분류하고, 작업중지, 작업자 대피, 메탄·산소·일산화탄소 측정, 환기설비 상태 확인, 재측정 결과 확인 후 작업 재개 판단 등 핵심 조치를 제시하였다. 검색 결과도 광산안전기술기준, 광산안전법 시행령, 광산안전업무 처리지침 등 광산 특화 문서 중심으로 나타나 검색정확도와 실무성이 높다. 다만 세부 기준값이나 조항과 답변 내용의 직접 연결은 일부 부족하여 근거성은 4점으로 평가하였다.; 기존 수동평가 점수가 모두 확인되어 표준 환산 완료</x:v>
      </x:c>
      <x:c r="L7" s="13" t="str">
        <x:v>09_광산안전기술기준_제10차개정_2024-12-19.txt,07_광산안전법_시행령.txt,10_광산안전업무_처리지침_2025-35_latest.txt</x:v>
      </x:c>
      <x:c r="M7" s="13" t="str">
        <x:v>chunk_00302,chunk_00272,chunk_00346</x:v>
      </x:c>
      <x:c r="N7"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정전으로 주 환기설비가 멈췄을 때 갱내 작업자를 어떻게 대피시키고 작업 재개는 언제 판단해야 해? ## 즉시 판단 - 상황 유형: 환기/유해가스 - 유해가스, 산소부족, 환기 이상이 의심되면 작업을 계속하지 말고 가스 측정, 환기, 대피를 우선해야 합니다. ## 우선 조치 -...</x:v>
      </x:c>
      <x:c r="O7" s="13" t="str">
        <x:v>기존 수동평가 5개 항목을 4개 기준·100점 만점으로 표준화</x:v>
      </x:c>
    </x:row>
    <x:row r="8" ht="58" customHeight="1">
      <x:c r="A8" s="13" t="str">
        <x:v>Q007</x:v>
      </x:c>
      <x:c r="B8" s="13" t="str">
        <x:v>유해가스</x:v>
      </x:c>
      <x:c r="C8" s="13" t="str">
        <x:v>메탄가스 농도가 평소보다 높게 측정됐을 때 현장 관리자는 어떤 순서로 조치해야 해?</x:v>
      </x:c>
      <x:c r="D8" s="15" t="n">
        <x:v>25</x:v>
      </x:c>
      <x:c r="E8" s="15" t="n">
        <x:v>25</x:v>
      </x:c>
      <x:c r="F8" s="15" t="n">
        <x:v>25</x:v>
      </x:c>
      <x:c r="G8" s="15" t="n">
        <x:v>20</x:v>
      </x:c>
      <x:c r="H8" s="15" t="n">
        <x:v>95</x:v>
      </x:c>
      <x:c r="I8" s="16" t="str">
        <x:v>매우 우수</x:v>
      </x:c>
      <x:c r="J8" s="13" t="str">
        <x:v>N</x:v>
      </x:c>
      <x:c r="K8" s="13" t="str">
        <x:v>기존 수동평가 환산: 검색정확도 5.0/5×5; 근거성 5.0/5와 환각억제 5.0/5 평균×5; 답변정확도 5.0/5×5; 실무성 4.0/5×5; 기존 메모: 메탄가스 농도 상승 상황에 대해 시스템은 환기/유해가스 유형으로 적절히 분류하고, 작업중지, 작업자 대피, 메탄·산소·일산화탄소 측정, 환기설비 상태 확인, 재측정 결과 확인 후 작업 재개 판단 등 핵심 조치를 제시하였다. 검색 결과도 광산안전기술기준과 광산안전업무 처리지침 중심으로 나타나 갱내 유해가스 관리와 직접적인 관련성이 높다. 다만 메탄 농도 기준 초과 시 전기설비 조작 제한, 점화원 차단, 재진입 승인 절차가 더 구체적으로 제시되면 실무성이 더욱 향상될 수 있다.; 기존 수동평가 점수가 모두 확인되어 표준 환산 완료</x:v>
      </x:c>
      <x:c r="L8" s="13" t="str">
        <x:v>09_광산안전기술기준_제10차개정_2024-12-19.txt,10_광산안전업무_처리지침_2025-35_latest.txt,09_광산안전기술기준_제10차개정_2024-12-19.txt</x:v>
      </x:c>
      <x:c r="M8" s="13" t="str">
        <x:v>chunk_00313,chunk_00350,chunk_00292</x:v>
      </x:c>
      <x:c r="N8"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메탄가스 농도가 평소보다 높게 측정됐을 때 현장 관리자는 어떤 순서로 조치해야 해? ## 즉시 판단 - 상황 유형: 환기/유해가스 - 유해가스, 산소부족, 환기 이상이 의심되면 작업을 계속하지 말고 가스 측정, 환기, 대피를 우선해야 합니다. ## 우선 조치 - 작업을 중지하...</x:v>
      </x:c>
      <x:c r="O8" s="13" t="str">
        <x:v>기존 수동평가 5개 항목을 4개 기준·100점 만점으로 표준화</x:v>
      </x:c>
    </x:row>
    <x:row r="9" ht="58" customHeight="1">
      <x:c r="A9" s="13" t="str">
        <x:v>Q008</x:v>
      </x:c>
      <x:c r="B9" s="13" t="str">
        <x:v>유해가스/산소결핍</x:v>
      </x:c>
      <x:c r="C9" s="13" t="str">
        <x:v>폐갱도 인근에서 산소 농도 저하와 일산화탄소 가능성이 의심될 때 작업 투입 전에 무엇을 확인해야 해?</x:v>
      </x:c>
      <x:c r="D9" s="15" t="n">
        <x:v>25</x:v>
      </x:c>
      <x:c r="E9" s="15" t="n">
        <x:v>25</x:v>
      </x:c>
      <x:c r="F9" s="15" t="n">
        <x:v>25</x:v>
      </x:c>
      <x:c r="G9" s="15" t="n">
        <x:v>20</x:v>
      </x:c>
      <x:c r="H9" s="15" t="n">
        <x:v>95</x:v>
      </x:c>
      <x:c r="I9" s="16" t="str">
        <x:v>매우 우수</x:v>
      </x:c>
      <x:c r="J9" s="13" t="str">
        <x:v>N</x:v>
      </x:c>
      <x:c r="K9" s="13" t="str">
        <x:v>기존 수동평가 환산: 검색정확도 5.0/5×5; 근거성 5.0/5와 환각억제 5.0/5 평균×5; 답변정확도 5.0/5×5; 실무성 4.0/5×5; 기존 메모: 메탄가스 농도 상승 상황에 대해 시스템은 환기/유해가스 유형으로 적절히 분류하고, 작업중지, 작업자 대피, 메탄·산소·일산화탄소 측정, 환기설비 상태 확인, 재측정 결과 확인 후 작업 재개 판단 등 핵심 조치를 제시하였다. 검색 결과도 광산안전기술기준과 광산안전업무 처리지침 중심으로 나타나 갱내 유해가스 관리와 직접적인 관련성이 높다. 다만 점화원 차단, 전기설비 조작 제한, 위험구역 출입통제, 책임자 승인 후 재진입 절차가 더 구체적으로 제시되면 실무성이 더욱 향상될 수 있다.; 기존 수동평가 점수가 모두 확인되어 표준 환산 완료</x:v>
      </x:c>
      <x:c r="L9" s="13" t="str">
        <x:v>08_광산안전법_시행규칙.txt,10_광산안전업무_처리지침_2025-35_latest.txt,09_광산안전기술기준_제10차개정_2024-12-19.txt</x:v>
      </x:c>
      <x:c r="M9" s="13" t="str">
        <x:v>chunk_00287,chunk_00350,chunk_00292</x:v>
      </x:c>
      <x:c r="N9"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폐갱도 인근에서 산소 농도 저하와 일산화탄소 가능성이 의심될 때 작업 투입 전에 무엇을 확인해야 해? ## 즉시 판단 - 상황 유형: 환기/유해가스 - 유해가스, 산소부족, 환기 이상이 의심되면 작업을 계속하지 말고 가스 측정, 환기, 대피를 우선해야 합니다. ## 우선 조치...</x:v>
      </x:c>
      <x:c r="O9" s="13" t="str">
        <x:v>기존 수동평가 5개 항목을 4개 기준·100점 만점으로 표준화</x:v>
      </x:c>
    </x:row>
    <x:row r="10" ht="58" customHeight="1">
      <x:c r="A10" s="13" t="str">
        <x:v>Q009</x:v>
      </x:c>
      <x:c r="B10" s="13" t="str">
        <x:v>운반차량</x:v>
      </x:c>
      <x:c r="C10" s="13" t="str">
        <x:v>갱내 운반차량과 보행 작업자가 같은 통로를 이용할 때 충돌을 막기 위한 관리 기준은 뭐야?</x:v>
      </x:c>
      <x:c r="D10" s="15" t="n">
        <x:v>25</x:v>
      </x:c>
      <x:c r="E10" s="15" t="n">
        <x:v>25</x:v>
      </x:c>
      <x:c r="F10" s="15" t="n">
        <x:v>20</x:v>
      </x:c>
      <x:c r="G10" s="15" t="n">
        <x:v>20</x:v>
      </x:c>
      <x:c r="H10" s="15" t="n">
        <x:v>90</x:v>
      </x:c>
      <x:c r="I10" s="16" t="str">
        <x:v>매우 우수</x:v>
      </x:c>
      <x:c r="J10" s="13" t="str">
        <x:v>N</x:v>
      </x:c>
      <x:c r="K10" s="13" t="str">
        <x:v>기존 수동평가 환산: 검색정확도 5.0/5×5; 근거성 5.0/5와 환각억제 5.0/5 평균×5; 답변정확도 4.0/5×5; 실무성 4.0/5×5; 기존 메모: 폐갱도 인근 산소 농도 저하 및 일산화탄소 가능성 상황에 대해 시스템은 환기/유해가스 유형으로 적절히 분류하고, 작업중지, 작업자 대피, 메탄·산소·일산화탄소 측정, 환기설비 상태 확인, 측정 결과 확인 후 작업 투입 또는 재개 판단 등 핵심 조치를 제시하였다. 검색 결과도 광산안전법 시행규칙, 광산안전업무 처리지침, 광산안전기술기준 등 광산 특화 문서 중심으로 나타나 근거성이 높다. 다만 폐갱도 인근 출입통제, 산소농도 기준 확인, 일산화탄소 측정 결과 기록, 구조·구급 대비 절차가 더 구체적으로 제시되면 실무성이 더욱 향상될 수 있다.; 기존 수동평가 점수가 모두 확인되어 표준 환산 완료</x:v>
      </x:c>
      <x:c r="L10" s="13" t="str">
        <x:v>09_광산안전기술기준_제10차개정_2024-12-19.txt,09_광산안전기술기준_제10차개정_2024-12-19.txt,11_안전보건관리체계_구축_가이드북.txt</x:v>
      </x:c>
      <x:c r="M10" s="13" t="str">
        <x:v>chunk_00321,chunk_00331,chunk_00389</x:v>
      </x:c>
      <x:c r="N10"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갱내 운반차량과 보행 작업자가 같은 통로를 이용할 때 충돌을 막기 위한 관리 기준은 뭐야? ## 즉시 판단 - 상황 유형: 장비/운반 - 장비 운전·정비 또는 운반 위험이 의심되면 전원 차단, 에너지 격리, 임의가동 방지, 접근 통제를 우선해야 합니다. ## 우선 조치 - 전...</x:v>
      </x:c>
      <x:c r="O10" s="13" t="str">
        <x:v>기존 수동평가 5개 항목을 4개 기준·100점 만점으로 표준화</x:v>
      </x:c>
    </x:row>
    <x:row r="11" ht="58" customHeight="1">
      <x:c r="A11" s="13" t="str">
        <x:v>Q010</x:v>
      </x:c>
      <x:c r="B11" s="13" t="str">
        <x:v>운반차량/경사로</x:v>
      </x:c>
      <x:c r="C11" s="13" t="str">
        <x:v>경사 갱도에서 광차 또는 운반장비가 미끄러질 위험이 있을 때 작업 전 점검해야 할 항목을 알려줘.</x:v>
      </x:c>
      <x:c r="D11" s="15" t="n">
        <x:v>25</x:v>
      </x:c>
      <x:c r="E11" s="15" t="n">
        <x:v>23</x:v>
      </x:c>
      <x:c r="F11" s="15" t="n">
        <x:v>20</x:v>
      </x:c>
      <x:c r="G11" s="15" t="n">
        <x:v>20</x:v>
      </x:c>
      <x:c r="H11" s="15" t="n">
        <x:v>88</x:v>
      </x:c>
      <x:c r="I11" s="16" t="str">
        <x:v>우수</x:v>
      </x:c>
      <x:c r="J11" s="13" t="str">
        <x:v>N</x:v>
      </x:c>
      <x:c r="K11" s="13" t="str">
        <x:v>기존 수동평가 환산: 검색정확도 5.0/5×5; 근거성 4.0/5와 환각억제 5.0/5 평균×5; 답변정확도 4.0/5×5; 실무성 4.0/5×5; 기존 메모: 장비 운전·정비 또는 운반 위험 상황에 대해 시스템은 장비/운반 유형으로 적절히 분류하고, 전원 차단, 에너지 격리, 임의가동 방지, 접근 통제, 정비 또는 운반 작업 재개 전 장비 상태와 작업자 위치 확인 등 기본적인 현장 조치를 제시하였다. 검색 결과도 광산안전기술기준, 광산안전법 시행령, 위험성평가 안내서가 포함되어 관련성이 높다. 다만 정비 중 끼임 방지, 잠금표지 절차, 작업반경 통제, 신호수 배치, 장비 재가동 승인 절차가 더 구체적으로 제시되면 실무성과 근거성이 더욱 향상될 수 있다.; 기존 수동평가 점수가 모두 확인되어 표준 환산 완료</x:v>
      </x:c>
      <x:c r="L11" s="13" t="str">
        <x:v>09_광산안전기술기준_제10차개정_2024-12-19.txt,07_광산안전법_시행령.txt,13_2023_새로운_위험성평가_안내서.txt</x:v>
      </x:c>
      <x:c r="M11" s="13" t="str">
        <x:v>chunk_00310,chunk_00269,chunk_00469</x:v>
      </x:c>
      <x:c r="N11"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경사 갱도에서 광차 또는 운반장비가 미끄러질 위험이 있을 때 작업 전 점검해야 할 항목을 알려줘. ## 즉시 판단 - 상황 유형: 장비/운반 - 장비 운전·정비 또는 운반 위험이 의심되면 전원 차단, 에너지 격리, 임의가동 방지, 접근 통제를 우선해야 합니다. ## 우선 조치...</x:v>
      </x:c>
      <x:c r="O11" s="13" t="str">
        <x:v>기존 수동평가 5개 항목을 4개 기준·100점 만점으로 표준화</x:v>
      </x:c>
    </x:row>
    <x:row r="12" ht="58" customHeight="1">
      <x:c r="A12" s="13" t="str">
        <x:v>Q011</x:v>
      </x:c>
      <x:c r="B12" s="13" t="str">
        <x:v>장비정비</x:v>
      </x:c>
      <x:c r="C12" s="13" t="str">
        <x:v>컨베이어 벨트 정비 중 끼임 사고를 막으려면 정비 전 관리자가 무엇을 확인해야 해?</x:v>
      </x:c>
      <x:c r="D12" s="15" t="n">
        <x:v>25</x:v>
      </x:c>
      <x:c r="E12" s="15" t="n">
        <x:v>23</x:v>
      </x:c>
      <x:c r="F12" s="15" t="n">
        <x:v>20</x:v>
      </x:c>
      <x:c r="G12" s="15" t="n">
        <x:v>20</x:v>
      </x:c>
      <x:c r="H12" s="15" t="n">
        <x:v>88</x:v>
      </x:c>
      <x:c r="I12" s="16" t="str">
        <x:v>우수</x:v>
      </x:c>
      <x:c r="J12" s="13" t="str">
        <x:v>N</x:v>
      </x:c>
      <x:c r="K12" s="13" t="str">
        <x:v>기존 수동평가 환산: 검색정확도 5.0/5×5; 근거성 4.0/5와 환각억제 5.0/5 평균×5; 답변정확도 4.0/5×5; 실무성 4.0/5×5; 기존 메모: 경사 갱도에서 광차 또는 운반장비 미끄러짐 위험이 있는 상황에 대해 시스템은 장비/운반 유형으로 적절히 분류하고, 접근통제, 작업자 위치 확인, 장비 상태 확인, 임의가동 방지 등 기본적인 현장 조치를 제시하였다. 검색 결과도 광산안전기술기준, 광산안전법 시행령, 위험성평가 안내서가 포함되어 관련성이 높다. 다만 경사 갱도 특화 점검 항목인 제동장치, 레일·궤도 상태, 차륜·연결장치, 경사 구간 정지장치, 적재 상태, 신호수 배치 등이 더 구체적으로 제시되면 실무성이 더욱 향상될 수 있다.; 기존 수동평가 점수가 모두 확인되어 표준 환산 완료</x:v>
      </x:c>
      <x:c r="L12" s="13" t="str">
        <x:v>11_안전보건관리체계_구축_가이드북.txt,03_산업안전보건법.txt,11_안전보건관리체계_구축_가이드북.txt</x:v>
      </x:c>
      <x:c r="M12" s="13" t="str">
        <x:v>chunk_00418,chunk_00039,chunk_00416</x:v>
      </x:c>
      <x:c r="N12"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컨베이어 벨트 정비 중 끼임 사고를 막으려면 정비 전 관리자가 무엇을 확인해야 해? ## 즉시 판단 - 상황 유형: 장비/운반 - 장비 운전·정비 또는 운반 위험이 의심되면 전원 차단, 에너지 격리, 임의가동 방지, 접근 통제를 우선해야 합니다. ## 우선 조치 - 전원 차단...</x:v>
      </x:c>
      <x:c r="O12" s="13" t="str">
        <x:v>기존 수동평가 5개 항목을 4개 기준·100점 만점으로 표준화</x:v>
      </x:c>
    </x:row>
    <x:row r="13" ht="58" customHeight="1">
      <x:c r="A13" s="13" t="str">
        <x:v>Q012</x:v>
      </x:c>
      <x:c r="B13" s="13" t="str">
        <x:v>장비정비/전기</x:v>
      </x:c>
      <x:c r="C13" s="13" t="str">
        <x:v>갱내 전기설비를 점검해야 하는데 습기가 많고 누전 우려가 있어. 감전 예방 조치는 어떻게 세워야 해?</x:v>
      </x:c>
      <x:c r="D13" s="15" t="n">
        <x:v>25</x:v>
      </x:c>
      <x:c r="E13" s="15" t="n">
        <x:v>23</x:v>
      </x:c>
      <x:c r="F13" s="15" t="n">
        <x:v>25</x:v>
      </x:c>
      <x:c r="G13" s="15" t="n">
        <x:v>25</x:v>
      </x:c>
      <x:c r="H13" s="15" t="n">
        <x:v>98</x:v>
      </x:c>
      <x:c r="I13" s="16" t="str">
        <x:v>매우 우수</x:v>
      </x:c>
      <x:c r="J13" s="13" t="str">
        <x:v>N</x:v>
      </x:c>
      <x:c r="K13" s="13" t="str">
        <x:v>기존 수동평가 환산: 검색정확도 5.0/5×5; 근거성 4.0/5와 환각억제 5.0/5 평균×5; 답변정확도 5.0/5×5; 실무성 5.0/5×5; 기존 메모: 갱내 전기설비 점검 중 습기와 누전 우려가 있는 상황에 대해 시스템은 전기안전 유형으로 적절히 분류하고, 전원 차단, 무전압 확인, 잠금·표지 또는 임의 투입 방지, 접지 상태 확인, 절연상태 확인, 누전차단기 작동 여부 확인, 습기·물기 제거, 케이블·배선 손상 확인, 보호구 착용, 책임자 확인 후 작업 재개 등 감전 예방 조치를 구체적으로 제시하였다. 검색 결과도 광산안전기술기준, 광산안전법 시행령, 광산안전업무 처리지침이 포함되어 이전 테스트보다 검색정확도와 답변정확도가 개선되었다. 다만 세부 조항과 답변 내용의 직접 연결성은 일부 부족하여 근거성은 4점으로 평가하였다.; 기존 수동평가 점수가 모두 확인되어 표준 환산 완료</x:v>
      </x:c>
      <x:c r="L13" s="13" t="str">
        <x:v>09_광산안전기술기준_제10차개정_2024-12-19.txt,07_광산안전법_시행령.txt,10_광산안전업무_처리지침_2025-35_latest.txt</x:v>
      </x:c>
      <x:c r="M13" s="13" t="str">
        <x:v>chunk_00311,chunk_00267,chunk_00353</x:v>
      </x:c>
      <x:c r="N13"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갱내 전기설비를 점검해야 하는데 습기가 많고 누전 우려가 있어. 감전 예방 조치는 어떻게 세워야 해? ## 즉시 판단 - 상황 유형: 전기안전 - 습기나 누전 우려가 있는 갱내 전기설비는 바로 점검을 시작하지 말고 먼저 전원을 차단해야 합니다. 임의 투입 방지, 접근통제, 접...</x:v>
      </x:c>
      <x:c r="O13" s="13" t="str">
        <x:v>기존 수동평가 5개 항목을 4개 기준·100점 만점으로 표준화</x:v>
      </x:c>
    </x:row>
    <x:row r="14" ht="58" customHeight="1">
      <x:c r="A14" s="13" t="str">
        <x:v>Q013</x:v>
      </x:c>
      <x:c r="B14" s="13" t="str">
        <x:v>보호구</x:v>
      </x:c>
      <x:c r="C14" s="13" t="str">
        <x:v>작업자가 안전모와 방진마스크를 착용하지 않고 갱내 작업장에 들어가려 할 때 관리자는 어떻게 해야 해?</x:v>
      </x:c>
      <x:c r="D14" s="15" t="n">
        <x:v>15</x:v>
      </x:c>
      <x:c r="E14" s="15" t="n">
        <x:v>20</x:v>
      </x:c>
      <x:c r="F14" s="15" t="n">
        <x:v>15</x:v>
      </x:c>
      <x:c r="G14" s="15" t="n">
        <x:v>15</x:v>
      </x:c>
      <x:c r="H14" s="15" t="n">
        <x:v>65</x:v>
      </x:c>
      <x:c r="I14" s="16" t="str">
        <x:v>보완 필요</x:v>
      </x:c>
      <x:c r="J14" s="13" t="str">
        <x:v>Y</x:v>
      </x:c>
      <x:c r="K14" s="13" t="str">
        <x:v>기존 수동평가 환산: 검색정확도 3.0/5×5; 근거성 3.0/5와 환각억제 5.0/5 평균×5; 답변정확도 3.0/5×5; 실무성 3.0/5×5; 기존 메모: 안전모와 방진마스크를 착용하지 않은 작업자의 갱내 작업장 출입 상황에 대해 시스템은 일반 광산 안전 유형으로 분류하고, 작업중지, 출입통제, 책임자 확인 등 일반적인 안전 조치를 제시하였다. 그러나 질문의 핵심인 보호구 미착용, 안전모 착용 확인, 방진마스크 착용 확인, 보호구 지급 및 착용 관리, 작업 투입 금지, 교육 및 기록 등의 조치가 충분히 구체적으로 제시되지 않았다. 검색 결과도 위험성평가 안내서, 안전보건관리체계 구축 가이드북, 산업안전보건법 위주로 나타나 보호구 관련 직접 근거가 부족하였다. 따라서 검색정확도, 답변정확도, 근거성, 실무성을 일부 감점하였다.; 총점 80점 미만 또는 세부 기준 15점 미만으로 수동 검토 권장</x:v>
      </x:c>
      <x:c r="L14" s="13" t="str">
        <x:v>13_2023_새로운_위험성평가_안내서.txt,11_안전보건관리체계_구축_가이드북.txt,03_산업안전보건법.txt</x:v>
      </x:c>
      <x:c r="M14" s="13" t="str">
        <x:v>chunk_00486,chunk_00398,chunk_00039</x:v>
      </x:c>
      <x:c r="N14"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작업자가 안전모와 방진마스크를 착용하지 않고 갱내 작업장에 들어가려 할 때 관리자는 어떻게 해야 해? ## 즉시 판단 - 상황 유형: 일반 광산 안전 - 검색된 근거 문서를 기준으로 위험요인을 먼저 확인하고, 급박한 위험이 있으면 작업중지와 대피를 우선 검토해야 합니다. ##...</x:v>
      </x:c>
      <x:c r="O14" s="13" t="str">
        <x:v>기존 수동평가 5개 항목을 4개 기준·100점 만점으로 표준화</x:v>
      </x:c>
    </x:row>
    <x:row r="15" ht="58" customHeight="1">
      <x:c r="A15" s="13" t="str">
        <x:v>Q014</x:v>
      </x:c>
      <x:c r="B15" s="13" t="str">
        <x:v>보호구/호흡보호</x:v>
      </x:c>
      <x:c r="C15" s="13" t="str">
        <x:v>분진이 많은 굴진 작업에서 방진마스크를 어떤 기준으로 지급하고 착용 상태를 확인해야 해?</x:v>
      </x:c>
      <x:c r="D15" s="15" t="n">
        <x:v>15</x:v>
      </x:c>
      <x:c r="E15" s="15" t="n">
        <x:v>20</x:v>
      </x:c>
      <x:c r="F15" s="15" t="n">
        <x:v>10</x:v>
      </x:c>
      <x:c r="G15" s="15" t="n">
        <x:v>10</x:v>
      </x:c>
      <x:c r="H15" s="15" t="n">
        <x:v>55</x:v>
      </x:c>
      <x:c r="I15" s="16" t="str">
        <x:v>미흡</x:v>
      </x:c>
      <x:c r="J15" s="13" t="str">
        <x:v>Y</x:v>
      </x:c>
      <x:c r="K15" s="13" t="str">
        <x:v>기존 수동평가 환산: 검색정확도 3.0/5×5; 근거성 3.0/5와 환각억제 5.0/5 평균×5; 답변정확도 2.0/5×5; 실무성 2.0/5×5; 기존 메모: 분진이 많은 굴진 작업에서 방진마스크 지급 및 착용 상태 확인 기준을 묻는 질문이었으나, 시스템은 이를 보호구/PPE 또는 분진 작업이 아니라 발파/불발 유형으로 분류하였다. 답변은 불발 의심 장소 접근 금지, 위험구역 출입통제, 발파 책임자 확인 등 발파 관련 조치 위주로 제시되어 질문의 핵심인 방진마스크, 호흡보호구 지급, 보호구 적합성, 착용 상태 확인, 착용 교육 및 기록 관리가 충분히 반영되지 않았다. 검색 문서는 광산안전기술기준과 광산안전업무 처리지침 등 광산 특화 문서가 포함되었으나 보호구 관련 직접 근거로는 부족하여 검색정확도와 근거성을 일부 감점하였다.; 총점 80점 미만 또는 세부 기준 15점 미만으로 수동 검토 권장</x:v>
      </x:c>
      <x:c r="L15" s="13" t="str">
        <x:v>09_광산안전기술기준_제10차개정_2024-12-19.txt,08_광산안전법_시행규칙.txt,10_광산안전업무_처리지침_2025-35_latest.txt</x:v>
      </x:c>
      <x:c r="M15" s="13" t="str">
        <x:v>chunk_00302,chunk_00288,chunk_00345</x:v>
      </x:c>
      <x:c r="N15"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분진이 많은 굴진 작업에서 방진마스크를 어떤 기준으로 지급하고 착용 상태를 확인해야 해? ## 즉시 판단 - 상황 유형: 발파/불발 - 불발이 의심되면 작업자의 임의 접근을 금지하고 위험구역 출입통제와 대피를 유지해야 합니다. 발파 책임자 또는 안전관리자가 불발 여부와 현장...</x:v>
      </x:c>
      <x:c r="O15" s="13" t="str">
        <x:v>기존 수동평가 5개 항목을 4개 기준·100점 만점으로 표준화</x:v>
      </x:c>
    </x:row>
    <x:row r="16" ht="58" customHeight="1">
      <x:c r="A16" s="13" t="str">
        <x:v>Q015</x:v>
      </x:c>
      <x:c r="B16" s="13" t="str">
        <x:v>안전교육</x:v>
      </x:c>
      <x:c r="C16" s="13" t="str">
        <x:v>신규 작업자를 갱내 작업에 투입하기 전 반드시 교육해야 할 광산 안전 항목은 뭐야?</x:v>
      </x:c>
      <x:c r="D16" s="15" t="n">
        <x:v>25</x:v>
      </x:c>
      <x:c r="E16" s="15" t="n">
        <x:v>25</x:v>
      </x:c>
      <x:c r="F16" s="15" t="n">
        <x:v>20</x:v>
      </x:c>
      <x:c r="G16" s="15" t="n">
        <x:v>20</x:v>
      </x:c>
      <x:c r="H16" s="15" t="n">
        <x:v>90</x:v>
      </x:c>
      <x:c r="I16" s="16" t="str">
        <x:v>매우 우수</x:v>
      </x:c>
      <x:c r="J16" s="13" t="str">
        <x:v>N</x:v>
      </x:c>
      <x:c r="K16" s="13" t="str">
        <x:v>기존 수동평가 환산: 검색정확도 5.0/5×5; 근거성 5.0/5와 환각억제 5.0/5 평균×5; 답변정확도 4.0/5×5; 실무성 4.0/5×5; 기존 메모: 신규 작업자를 갱내 작업에 투입하기 전 필요한 광산 안전교육 항목에 대해 광산안전법, 광산안전기술기준, 광산안전법 시행령이 적절히 검색되었다. 검색 근거에는 광산안전교육 이수, 교육 기록 보존, 광산안전기준, 광산근로자 준수사항, 전기·기계설비, 광해 방지, 광산안전 관련 사항 등이 포함되어 질문과의 관련성이 높다. 다만 답변이 신규 작업자 교육 항목을 낙반, 환기·유해가스, 발파, 운반장비, 보호구, 비상대피, 보고절차 등으로 더 체계적으로 구분해 제시하면 실무성이 더욱 향상될 수 있다.; 기존 수동평가 점수가 모두 확인되어 표준 환산 완료</x:v>
      </x:c>
      <x:c r="L16" s="13" t="str">
        <x:v>06_광산안전법.txt,09_광산안전기술기준_제10차개정_2024-12-19.txt,07_광산안전법_시행령.txt</x:v>
      </x:c>
      <x:c r="M16" s="13" t="str">
        <x:v>chunk_00257,chunk_00300,chunk_00273</x:v>
      </x:c>
      <x:c r="N16"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신규 작업자를 갱내 작업에 투입하기 전 반드시 교육해야 할 광산 안전 항목은 뭐야? ## 즉시 판단 - 상황 유형: 일반 광산 안전 - 검색된 근거 문서를 기준으로 위험요인을 먼저 확인하고, 급박한 위험이 있으면 작업중지와 대피를 우선 검토해야 합니다. ## 우선 조치 - 검...</x:v>
      </x:c>
      <x:c r="O16" s="13" t="str">
        <x:v>기존 수동평가 5개 항목을 4개 기준·100점 만점으로 표준화</x:v>
      </x:c>
    </x:row>
    <x:row r="17" ht="58" customHeight="1">
      <x:c r="A17" s="13" t="str">
        <x:v>Q016</x:v>
      </x:c>
      <x:c r="B17" s="13" t="str">
        <x:v>안전교육/특별작업</x:v>
      </x:c>
      <x:c r="C17" s="13" t="str">
        <x:v>발파 보조 작업에 처음 투입되는 근로자에게 일반 안전교육 외에 어떤 특별 교육이 필요해?</x:v>
      </x:c>
      <x:c r="D17" s="15" t="n">
        <x:v>25</x:v>
      </x:c>
      <x:c r="E17" s="15" t="n">
        <x:v>25</x:v>
      </x:c>
      <x:c r="F17" s="15" t="n">
        <x:v>20</x:v>
      </x:c>
      <x:c r="G17" s="15" t="n">
        <x:v>20</x:v>
      </x:c>
      <x:c r="H17" s="15" t="n">
        <x:v>90</x:v>
      </x:c>
      <x:c r="I17" s="16" t="str">
        <x:v>매우 우수</x:v>
      </x:c>
      <x:c r="J17" s="13" t="str">
        <x:v>N</x:v>
      </x:c>
      <x:c r="K17" s="13" t="str">
        <x:v>기존 수동평가 환산: 검색정확도 5.0/5×5; 근거성 5.0/5와 환각억제 5.0/5 평균×5; 답변정확도 4.0/5×5; 실무성 4.0/5×5; 기존 메모: 발파 보조 작업에 처음 투입되는 근로자의 특별교육 질문에 대해 광산안전법, 광산안전법 시행규칙, 광산안전기술기준이 적절히 검색되었다. 검색 근거에는 광산안전교육 이수, 교육 기록 보존, 신규 광산근로자 교육, 광산안전 관련 교육과 발파·화약류 관련 안전 기준이 포함되어 질문과의 관련성이 높다. 답변은 발파 위험, 불발 의심 시 접근 금지, 위험구역 출입통제, 대피 유지, 책임자 확인 등 실무 조치를 제시하였다. 다만 질문의 핵심이 특별교육 항목이므로 화약류 취급 금지 범위, 발파 신호, 대피 절차, 불발 대응, 보호구 착용, 보고·기록 등 교육 항목을 더 체계적인 체크리스트로 제시하면 실무성이 더욱 향상될 수 있다.; 기존 수동평가 점수가 모두 확인되어 표준 환산 완료</x:v>
      </x:c>
      <x:c r="L17" s="13" t="str">
        <x:v>06_광산안전법.txt,08_광산안전법_시행규칙.txt,09_광산안전기술기준_제10차개정_2024-12-19.txt</x:v>
      </x:c>
      <x:c r="M17" s="13" t="str">
        <x:v>chunk_00257,chunk_00281,chunk_00299</x:v>
      </x:c>
      <x:c r="N17"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발파 보조 작업에 처음 투입되는 근로자에게 일반 안전교육 외에 어떤 특별 교육이 필요해? ## 즉시 판단 - 상황 유형: 발파/불발 - 불발이 의심되면 작업자의 임의 접근을 금지하고 위험구역 출입통제와 대피를 유지해야 합니다. 발파 책임자 또는 안전관리자가 불발 여부와 현장...</x:v>
      </x:c>
      <x:c r="O17" s="13" t="str">
        <x:v>기존 수동평가 5개 항목을 4개 기준·100점 만점으로 표준화</x:v>
      </x:c>
    </x:row>
    <x:row r="18" ht="58" customHeight="1">
      <x:c r="A18" s="13" t="str">
        <x:v>Q017</x:v>
      </x:c>
      <x:c r="B18" s="13" t="str">
        <x:v>작업중지</x:v>
      </x:c>
      <x:c r="C18" s="13" t="str">
        <x:v>갱내에서 유해가스 경보가 울렸는데 일부 작업자가 마무리 작업을 하겠다고 할 때 관리자는 어떤 기준으로 작업중지를 지시해야 해?</x:v>
      </x:c>
      <x:c r="D18" s="15" t="n">
        <x:v>20</x:v>
      </x:c>
      <x:c r="E18" s="15" t="n">
        <x:v>23</x:v>
      </x:c>
      <x:c r="F18" s="15" t="n">
        <x:v>25</x:v>
      </x:c>
      <x:c r="G18" s="15" t="n">
        <x:v>25</x:v>
      </x:c>
      <x:c r="H18" s="15" t="n">
        <x:v>93</x:v>
      </x:c>
      <x:c r="I18" s="16" t="str">
        <x:v>매우 우수</x:v>
      </x:c>
      <x:c r="J18" s="13" t="str">
        <x:v>N</x:v>
      </x:c>
      <x:c r="K18" s="13" t="str">
        <x:v>기존 수동평가 환산: 검색정확도 4.0/5×5; 근거성 4.0/5와 환각억제 5.0/5 평균×5; 답변정확도 5.0/5×5; 실무성 5.0/5×5; 기존 메모: 유해가스 경보 발생 후 일부 작업자가 마무리 작업을 하겠다고 하는 상황에 대해 시스템은 환기/유해가스 유형으로 적절히 분류하고, 작업중지, 작업자 대피, 메탄·산소·일산화탄소 측정, 환기설비 상태 확인, 재측정 결과 확인 후 작업 재개 판단 등 핵심 조치를 제시하였다. 특히 유해가스 경보 상황에서 마무리 작업보다 작업중지와 대피를 우선해야 한다는 방향이 명확하다. 검색 결과에 광산안전기술기준이 포함되어 직접 관련성이 있으나, 나머지 근거가 산업안전보건법과 위험성평가 안내서 위주라 광산안전업무 처리지침이나 광산안전법 시행규칙이 함께 검색되면 근거성이 더 높아질 수 있다.; 기존 수동평가 점수가 모두 확인되어 표준 환산 완료</x:v>
      </x:c>
      <x:c r="L18" s="13" t="str">
        <x:v>09_광산안전기술기준_제10차개정_2024-12-19.txt,03_산업안전보건법.txt,13_2023_새로운_위험성평가_안내서.txt</x:v>
      </x:c>
      <x:c r="M18" s="13" t="str">
        <x:v>chunk_00292,chunk_00039,chunk_00435</x:v>
      </x:c>
      <x:c r="N18"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갱내에서 유해가스 경보가 울렸는데 일부 작업자가 마무리 작업을 하겠다고 할 때 관리자는 어떤 기준으로 작업중지를 지시해야 해? ## 즉시 판단 - 상황 유형: 환기/유해가스 - 유해가스, 산소부족, 환기 이상이 의심되면 작업을 계속하지 말고 가스 측정, 환기, 대피를 우선해야...</x:v>
      </x:c>
      <x:c r="O18" s="13" t="str">
        <x:v>기존 수동평가 5개 항목을 4개 기준·100점 만점으로 표준화</x:v>
      </x:c>
    </x:row>
    <x:row r="19" ht="58" customHeight="1">
      <x:c r="A19" s="13" t="str">
        <x:v>Q018</x:v>
      </x:c>
      <x:c r="B19" s="13" t="str">
        <x:v>작업중지/재개</x:v>
      </x:c>
      <x:c r="C19" s="13" t="str">
        <x:v>낙반 위험으로 작업을 중지한 뒤 다시 작업을 시작하려면 어떤 확인과 승인 절차가 필요해?</x:v>
      </x:c>
      <x:c r="D19" s="15" t="n">
        <x:v>15</x:v>
      </x:c>
      <x:c r="E19" s="15" t="n">
        <x:v>20</x:v>
      </x:c>
      <x:c r="F19" s="15" t="n">
        <x:v>20</x:v>
      </x:c>
      <x:c r="G19" s="15" t="n">
        <x:v>20</x:v>
      </x:c>
      <x:c r="H19" s="15" t="n">
        <x:v>75</x:v>
      </x:c>
      <x:c r="I19" s="16" t="str">
        <x:v>보통</x:v>
      </x:c>
      <x:c r="J19" s="13" t="str">
        <x:v>Y</x:v>
      </x:c>
      <x:c r="K19" s="13" t="str">
        <x:v>기존 수동평가 환산: 검색정확도 3.0/5×5; 근거성 3.0/5와 환각억제 5.0/5 평균×5; 답변정확도 4.0/5×5; 실무성 4.0/5×5; 기존 메모: 낙반 위험으로 작업을 중지한 뒤 재작업을 시작하기 위한 확인과 승인 절차에 대해 시스템은 낙반/붕락 유형으로 적절히 분류하고, 작업중지 유지, 출입통제, 근로자 대피, 천반 균열·부석·낙석 위험 확인, 지보공 변형·손상 확인, 안전관리자 또는 책임자 확인 후 작업 재개 판단 등 기본적인 현장 조치를 제시하였다. 다만 검색 결과가 산업안전보건법 시행규칙 위주로 나타나 낙반·붕락 및 갱내 작업 재개와 직접 관련성이 높은 광산안전기술기준이나 광산안전법 시행규칙이 충분히 검색되지 않은 점은 아쉽다. 따라서 답변의 방향성과 실무성은 양호하지만 검색정확도와 근거성은 일부 감점하였다.; 총점 80점 미만 또는 세부 기준 15점 미만으로 수동 검토 권장</x:v>
      </x:c>
      <x:c r="L19" s="13" t="str">
        <x:v>05_산업안전보건법_시행규칙.txt,10_광산안전업무_처리지침_2025-35_latest.txt,05_산업안전보건법_시행규칙.txt</x:v>
      </x:c>
      <x:c r="M19" s="13" t="str">
        <x:v>chunk_00208,chunk_00343,chunk_00170</x:v>
      </x:c>
      <x:c r="N19"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낙반 위험으로 작업을 중지한 뒤 다시 작업을 시작하려면 어떤 확인과 승인 절차가 필요해? ## 즉시 판단 - 상황 유형: 낙반/붕락 - 낙반/붕락 위험이 의심되므로 작업을 계속하지 말고 즉시 작업중지 여부를 검토해야 합니다. 위험 구역 출입통제, 근로자 대피, 천반·부석·지보...</x:v>
      </x:c>
      <x:c r="O19" s="13" t="str">
        <x:v>기존 수동평가 5개 항목을 4개 기준·100점 만점으로 표준화</x:v>
      </x:c>
    </x:row>
    <x:row r="20" ht="58" customHeight="1">
      <x:c r="A20" s="13" t="str">
        <x:v>Q019</x:v>
      </x:c>
      <x:c r="B20" s="13" t="str">
        <x:v>사고보고</x:v>
      </x:c>
      <x:c r="C20" s="13" t="str">
        <x:v>갱내 운반차량 접촉사고로 작업자가 다쳤을 때 현장 관리자는 먼저 무엇을 하고 어디까지 보고해야 해?</x:v>
      </x:c>
      <x:c r="D20" s="15" t="n">
        <x:v>15</x:v>
      </x:c>
      <x:c r="E20" s="15" t="n">
        <x:v>20</x:v>
      </x:c>
      <x:c r="F20" s="15" t="n">
        <x:v>10</x:v>
      </x:c>
      <x:c r="G20" s="15" t="n">
        <x:v>10</x:v>
      </x:c>
      <x:c r="H20" s="15" t="n">
        <x:v>55</x:v>
      </x:c>
      <x:c r="I20" s="16" t="str">
        <x:v>미흡</x:v>
      </x:c>
      <x:c r="J20" s="13" t="str">
        <x:v>Y</x:v>
      </x:c>
      <x:c r="K20" s="13" t="str">
        <x:v>기존 수동평가 환산: 검색정확도 3.0/5×5; 근거성 3.0/5와 환각억제 5.0/5 평균×5; 답변정확도 2.0/5×5; 실무성 2.0/5×5; 기존 메모: 갱내 운반차량 접촉사고로 작업자가 다친 상황에 대해 시스템은 장비/운반 유형으로 분류하고, 전원 차단, 에너지 격리, 임의가동 방지, 접근통제 등 장비 위험 통제 조치를 제시하였다. 그러나 질문의 핵심은 이미 부상자가 발생한 사고 상황에서의 최초 조치와 보고 범위이므로, 부상자 응급조치, 119 또는 구급 연락, 2차 사고 방지, 현장 보존, 안전관리자·책임자 보고, 사고 기록, 재해조사, 필요 시 관계기관 신고 및 재발방지대책 수립 등이 더 직접적으로 제시되어야 한다. 검색 결과도 안전보건관리체계 구축 가이드북과 산업안전보건법 시행령 위주로 나타나, 광산안전업무 처리지침이나 광산안전법 계열의 사고보고 관련 근거가 부족하였다.; 총점 80점 미만 또는 세부 기준 15점 미만으로 수동 검토 권장</x:v>
      </x:c>
      <x:c r="L20" s="13" t="str">
        <x:v>11_안전보건관리체계_구축_가이드북.txt,11_안전보건관리체계_구축_가이드북.txt,04_산업안전보건법_시행령.txt</x:v>
      </x:c>
      <x:c r="M20" s="13" t="str">
        <x:v>chunk_00400,chunk_00379,chunk_00124</x:v>
      </x:c>
      <x:c r="N20"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갱내 운반차량 접촉사고로 작업자가 다쳤을 때 현장 관리자는 먼저 무엇을 하고 어디까지 보고해야 해? ## 즉시 판단 - 상황 유형: 장비/운반 - 장비 운전·정비 또는 운반 위험이 의심되면 전원 차단, 에너지 격리, 임의가동 방지, 접근 통제를 우선해야 합니다. ## 우선 조...</x:v>
      </x:c>
      <x:c r="O20" s="13" t="str">
        <x:v>기존 수동평가 5개 항목을 4개 기준·100점 만점으로 표준화</x:v>
      </x:c>
    </x:row>
    <x:row r="21" ht="58" customHeight="1">
      <x:c r="A21" s="13" t="str">
        <x:v>Q020</x:v>
      </x:c>
      <x:c r="B21" s="13" t="str">
        <x:v>사고보고/중대재해</x:v>
      </x:c>
      <x:c r="C21" s="13" t="str">
        <x:v>사망 또는 중대부상 가능성이 있는 사고가 발생했을 때 중대재해처벌법 대응 관점에서 즉시 챙겨야 할 사항은 뭐야?</x:v>
      </x:c>
      <x:c r="D21" s="15" t="n">
        <x:v>15</x:v>
      </x:c>
      <x:c r="E21" s="15" t="n">
        <x:v>20</x:v>
      </x:c>
      <x:c r="F21" s="15" t="n">
        <x:v>25</x:v>
      </x:c>
      <x:c r="G21" s="15" t="n">
        <x:v>25</x:v>
      </x:c>
      <x:c r="H21" s="15" t="n">
        <x:v>85</x:v>
      </x:c>
      <x:c r="I21" s="16" t="str">
        <x:v>우수</x:v>
      </x:c>
      <x:c r="J21" s="13" t="str">
        <x:v>N</x:v>
      </x:c>
      <x:c r="K21" s="13" t="str">
        <x:v>기존 수동평가 환산: 검색정확도 3.0/5×5; 근거성 3.0/5와 환각억제 5.0/5 평균×5; 답변정확도 5.0/5×5; 실무성 5.0/5×5; 기존 메모: 사망 또는 중대부상 가능성이 있는 사고 발생 시 중대재해처벌법 대응 관점에서 즉시 챙겨야 할 사항에 대해 시스템은 중대재해처벌법 유형으로 적절히 분류하고, 작업중지, 인명 구조, 현장 보존, 보고 절차, 사고 원인 조사, 재발방지대책 수립, 안전보건관리체계 이행 여부 점검 등 핵심 조치를 제시하였다. 답변의 방향성과 실무성은 높으나, 검색 결과가 중대재해처벌법 및 시행령이 아니라 위험성평가 안내서와 안전보건관리체계 구축 가이드북 위주로 나타나 직접 근거성이 다소 부족하였다. 중대재해처벌법과 시행령, 산업안전보건법, 광산안전업무 처리지침이 함께 검색되면 근거성이 더 높아질 수 있다.; 기존 수동평가 점수가 모두 확인되어 표준 환산 완료</x:v>
      </x:c>
      <x:c r="L21" s="13" t="str">
        <x:v>13_2023_새로운_위험성평가_안내서.txt,13_2023_새로운_위험성평가_안내서.txt,11_안전보건관리체계_구축_가이드북.txt</x:v>
      </x:c>
      <x:c r="M21" s="13" t="str">
        <x:v>chunk_00460,chunk_00483,chunk_00379</x:v>
      </x:c>
      <x:c r="N21"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사망 또는 중대부상 가능성이 있는 사고가 발생했을 때 중대재해처벌법 대응 관점에서 즉시 챙겨야 할 사항은 뭐야? ## 즉시 판단 - 상황 유형: 중대재해처벌법 - 사망 또는 중대재해 가능성이 있는 상황에서는 작업중지, 인명 구조와 보고, 원인조사, 재발방지대책, 안전보건관리체...</x:v>
      </x:c>
      <x:c r="O21" s="13" t="str">
        <x:v>기존 수동평가 5개 항목을 4개 기준·100점 만점으로 표준화</x:v>
      </x:c>
    </x:row>
    <x:row r="22" ht="58" customHeight="1">
      <x:c r="A22" s="13" t="str">
        <x:v>Q021</x:v>
      </x:c>
      <x:c r="B22" s="13" t="str">
        <x:v>중대재해처벌법 책임</x:v>
      </x:c>
      <x:c r="C22" s="13" t="str">
        <x:v>광산 사업장의 경영책임자가 중대재해처벌법상 안전보건 확보의무를 다하려면 어떤 체계를 갖춰야 해?</x:v>
      </x:c>
      <x:c r="D22" s="15" t="n">
        <x:v>25</x:v>
      </x:c>
      <x:c r="E22" s="15" t="n">
        <x:v>25</x:v>
      </x:c>
      <x:c r="F22" s="15" t="n">
        <x:v>20</x:v>
      </x:c>
      <x:c r="G22" s="15" t="n">
        <x:v>20</x:v>
      </x:c>
      <x:c r="H22" s="15" t="n">
        <x:v>90</x:v>
      </x:c>
      <x:c r="I22" s="16" t="str">
        <x:v>매우 우수</x:v>
      </x:c>
      <x:c r="J22" s="13" t="str">
        <x:v>N</x:v>
      </x:c>
      <x:c r="K22" s="13" t="str">
        <x:v>기존 수동평가 환산: 검색정확도 5.0/5×5; 근거성 5.0/5와 환각억제 5.0/5 평균×5; 답변정확도 4.0/5×5; 실무성 4.0/5×5; 기존 메모: 광산 사업장의 경영책임자가 중대재해처벌법상 안전보건 확보의무를 다하기 위해 필요한 체계를 묻는 질문에 대해 시스템은 중대재해처벌법 유형으로 적절히 분류하였다. 검색 결과도 중대재해처벌법 시행령, 안전보건관리체계 구축 가이드북, 위험성평가 안내서가 포함되어 질문과의 관련성이 높다. 특히 중대재해처벌법 시행령에서 안전보건관리체계 구축, 안전보건관리책임자 등의 업무 수행 지원, 평가 기준 마련, 예산 편성, 종사자 의견 청취, 개선조치 점검 등의 근거가 검색되어 근거성이 높다. 다만 답변에서 인력·예산, 전담조직, 유해위험요인 확인·개선, 도급관리, 비상대응, 점검·기록 등 체계 구성요소를 더 구체적인 체크리스트로 제시하면 실무성이 더욱 향상될 수 있다.; 기존 수동평가 점수가 모두 확인되어 표준 환산 완료</x:v>
      </x:c>
      <x:c r="L22" s="13" t="str">
        <x:v>02_중대재해처벌법_시행령.txt,11_안전보건관리체계_구축_가이드북.txt,13_2023_새로운_위험성평가_안내서.txt</x:v>
      </x:c>
      <x:c r="M22" s="13" t="str">
        <x:v>chunk_00010,chunk_00363,chunk_00466</x:v>
      </x:c>
      <x:c r="N22"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광산 사업장의 경영책임자가 중대재해처벌법상 안전보건 확보의무를 다하려면 어떤 체계를 갖춰야 해? ## 즉시 판단 - 상황 유형: 중대재해처벌법 - 사망 또는 중대재해 가능성이 있는 상황에서는 작업중지, 인명 구조와 보고, 원인조사, 재발방지대책, 안전보건관리체계 이행 여부 점...</x:v>
      </x:c>
      <x:c r="O22" s="13" t="str">
        <x:v>기존 수동평가 5개 항목을 4개 기준·100점 만점으로 표준화</x:v>
      </x:c>
    </x:row>
    <x:row r="23" ht="58" customHeight="1">
      <x:c r="A23" s="13" t="str">
        <x:v>Q022</x:v>
      </x:c>
      <x:c r="B23" s="13" t="str">
        <x:v>중대재해처벌법/도급</x:v>
      </x:c>
      <x:c r="C23" s="13" t="str">
        <x:v>외주 정비업체가 갱내 설비를 수리할 때 원청 광산 관리자가 중대재해처벌법 관점에서 확인해야 할 것은 뭐야?</x:v>
      </x:c>
      <x:c r="D23" s="15" t="n">
        <x:v>25</x:v>
      </x:c>
      <x:c r="E23" s="15" t="n">
        <x:v>25</x:v>
      </x:c>
      <x:c r="F23" s="15" t="n">
        <x:v>20</x:v>
      </x:c>
      <x:c r="G23" s="15" t="n">
        <x:v>20</x:v>
      </x:c>
      <x:c r="H23" s="15" t="n">
        <x:v>90</x:v>
      </x:c>
      <x:c r="I23" s="16" t="str">
        <x:v>매우 우수</x:v>
      </x:c>
      <x:c r="J23" s="13" t="str">
        <x:v>N</x:v>
      </x:c>
      <x:c r="K23" s="13" t="str">
        <x:v>기존 수동평가 환산: 검색정확도 5.0/5×5; 근거성 5.0/5와 환각억제 5.0/5 평균×5; 답변정확도 4.0/5×5; 실무성 4.0/5×5; 기존 메모: 사고 발생 후 보고·조사·조치와 관련된 질문에 대해 시스템은 관련 근거로 광산안전업무 처리지침, 광산안전법 시행규칙, 안전보건관리체계 구축 가이드북을 검색하였다. 특히 광산안전업무 처리지침에서 안전명령 불이행, 재해조사 과정, 법령 위반 확인 시 조치, 재해사고 보고 및 구조활동 관련 내용이 검색되어 질문과의 직접 관련성이 높다. 다만 답변에서 현장관리자, 안전관리자, 사무소장, 관계기관 보고 등 보고 체계와 단계별 절차를 더 구체적으로 제시하면 실무성이 더욱 향상될 수 있다.; 기존 수동평가 점수가 모두 확인되어 표준 환산 완료</x:v>
      </x:c>
      <x:c r="L23" s="13" t="str">
        <x:v>10_광산안전업무_처리지침_2025-35_latest.txt,08_광산안전법_시행규칙.txt,11_안전보건관리체계_구축_가이드북.txt</x:v>
      </x:c>
      <x:c r="M23" s="13" t="str">
        <x:v>chunk_00349,chunk_00284,chunk_00414</x:v>
      </x:c>
      <x:c r="N23"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외주 정비업체가 갱내 설비를 수리할 때 원청 광산 관리자가 중대재해처벌법 관점에서 확인해야 할 것은 뭐야? ## 즉시 판단 - 상황 유형: 장비/운반 - 장비 운전·정비 또는 운반 위험이 의심되면 전원 차단, 에너지 격리, 임의가동 방지, 접근 통제를 우선해야 합니다. ##...</x:v>
      </x:c>
      <x:c r="O23" s="13" t="str">
        <x:v>기존 수동평가 5개 항목을 4개 기준·100점 만점으로 표준화</x:v>
      </x:c>
    </x:row>
    <x:row r="24" ht="58" customHeight="1">
      <x:c r="A24" s="13" t="str">
        <x:v>Q023</x:v>
      </x:c>
      <x:c r="B24" s="13" t="str">
        <x:v>위험성평가</x:v>
      </x:c>
      <x:c r="C24" s="13" t="str">
        <x:v>새로운 굴진 구간 작업을 시작하기 전 위험성평가는 어떤 항목과 순서로 해야 해?</x:v>
      </x:c>
      <x:c r="D24" s="15" t="n">
        <x:v>15</x:v>
      </x:c>
      <x:c r="E24" s="15" t="n">
        <x:v>20</x:v>
      </x:c>
      <x:c r="F24" s="15" t="n">
        <x:v>10</x:v>
      </x:c>
      <x:c r="G24" s="15" t="n">
        <x:v>10</x:v>
      </x:c>
      <x:c r="H24" s="15" t="n">
        <x:v>55</x:v>
      </x:c>
      <x:c r="I24" s="16" t="str">
        <x:v>미흡</x:v>
      </x:c>
      <x:c r="J24" s="13" t="str">
        <x:v>Y</x:v>
      </x:c>
      <x:c r="K24" s="13" t="str">
        <x:v>기존 수동평가 환산: 검색정확도 3.0/5×5; 근거성 3.0/5와 환각억제 5.0/5 평균×5; 답변정확도 2.0/5×5; 실무성 2.0/5×5; 기존 메모: 새로운 굴진 구간 작업 시작 전 위험성평가 항목과 순서를 묻는 질문이었으나, 시스템은 이를 위험성평가 유형이 아니라 발파/불발 유형으로 분류하였다. 답변은 불발 의심 장소 접근 금지, 위험구역 출입통제, 발파 책임자 확인, 불발화약류 확인, 발파 후 재출입 기준 등 발파 관련 조치 위주로 제시되어 질문의 핵심인 유해·위험요인 파악, 위험성 결정, 감소대책 수립, 감소대책 이행, 근로자 공유, 작업 전 안전회의, 기록 및 재평가 절차가 충분히 반영되지 않았다. 검색 결과도 광산안전기술기준, 광산안전법 시행규칙, 광산안전업무 처리지침이 포함되어 광산 작업과의 관련성은 있으나, 위험성평가 안내서와 안전보건관리체계 구축 가이드북 등 위험성평가 직접 근거가 상위에 검색되지 않아 검색정확도와 근거성을 일부 감점하였다.; 총점 80점 미만 또는 세부 기준 15점 미만으로 수동 검토 권장</x:v>
      </x:c>
      <x:c r="L24" s="13" t="str">
        <x:v>09_광산안전기술기준_제10차개정_2024-12-19.txt,08_광산안전법_시행규칙.txt,10_광산안전업무_처리지침_2025-35_latest.txt</x:v>
      </x:c>
      <x:c r="M24" s="13" t="str">
        <x:v>chunk_00333,chunk_00288,chunk_00345</x:v>
      </x:c>
      <x:c r="N24"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새로운 굴진 구간 작업을 시작하기 전 위험성평가는 어떤 항목과 순서로 해야 해? ## 즉시 판단 - 상황 유형: 발파/불발 - 불발이 의심되면 작업자의 임의 접근을 금지하고 위험구역 출입통제와 대피를 유지해야 합니다. 발파 책임자 또는 안전관리자가 불발 여부와 현장 안전을 확...</x:v>
      </x:c>
      <x:c r="O24" s="13" t="str">
        <x:v>기존 수동평가 5개 항목을 4개 기준·100점 만점으로 표준화</x:v>
      </x:c>
    </x:row>
    <x:row r="25" ht="58" customHeight="1">
      <x:c r="A25" s="13" t="str">
        <x:v>Q024</x:v>
      </x:c>
      <x:c r="B25" s="13" t="str">
        <x:v>위험성평가/수시평가</x:v>
      </x:c>
      <x:c r="C25" s="13" t="str">
        <x:v>작업 방식이 바뀌고 새 장비가 투입되는 경우 기존 위험성평가를 그대로 써도 되는지, 어떤 추가 평가가 필요한지 알려줘.</x:v>
      </x:c>
      <x:c r="D25" s="15" t="n">
        <x:v>25</x:v>
      </x:c>
      <x:c r="E25" s="15" t="n">
        <x:v>25</x:v>
      </x:c>
      <x:c r="F25" s="15" t="n">
        <x:v>15</x:v>
      </x:c>
      <x:c r="G25" s="15" t="n">
        <x:v>15</x:v>
      </x:c>
      <x:c r="H25" s="15" t="n">
        <x:v>80</x:v>
      </x:c>
      <x:c r="I25" s="16" t="str">
        <x:v>우수</x:v>
      </x:c>
      <x:c r="J25" s="13" t="str">
        <x:v>N</x:v>
      </x:c>
      <x:c r="K25" s="13" t="str">
        <x:v>기존 수동평가 환산: 검색정확도 5.0/5×5; 근거성 5.0/5와 환각억제 5.0/5 평균×5; 답변정확도 3.0/5×5; 실무성 3.0/5×5; 기존 메모: 작업 방식 변경 및 신규 장비 투입 시 기존 위험성평가를 그대로 사용할 수 있는지와 추가 평가 필요성을 묻는 질문에 대해 검색 결과는 2023 새로운 위험성평가 안내서가 상위에 반복적으로 검색되어 매우 적절하였다. 검색 근거에는 기존 시행대책의 효과 검토, 추가 조치 필요 여부 판단, 위험성 감소대책 수립·시행, 위험성평가 재검토, 유해·위험요인 파악과 위험성 결정 등의 내용이 포함되어 질문과의 직접 관련성이 높다. 다만 시스템은 질문을 위험성평가 유형이 아니라 장비/운반 유형으로 분류하여 전원 차단, 에너지 격리, 임의가동 방지, 접근통제 등 장비 안전 조치 위주로 답변하였다. 따라서 검색정확도와 근거성은 높지만, 위험성평가 재실시 또는 재검토 절차, 새로운 유해·위험요인 파악, 감소대책 수립, 근로자 공유, 기록 관리 등 핵심 답변이 부족하여 답변정확도와 실무성을 일부 감점하였다.; 기존 수동평가 점수가 모두 확인되어 표준 환산 완료</x:v>
      </x:c>
      <x:c r="L25" s="13" t="str">
        <x:v>13_2023_새로운_위험성평가_안내서.txt,13_2023_새로운_위험성평가_안내서.txt,13_2023_새로운_위험성평가_안내서.txt</x:v>
      </x:c>
      <x:c r="M25" s="13" t="str">
        <x:v>chunk_00475,chunk_00472,chunk_00460</x:v>
      </x:c>
      <x:c r="N25"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작업 방식이 바뀌고 새 장비가 투입되는 경우 기존 위험성평가를 그대로 써도 되는지, 어떤 추가 평가가 필요한지 알려줘. ## 즉시 판단 - 상황 유형: 장비/운반 - 장비 운전·정비 또는 운반 위험이 의심되면 전원 차단, 에너지 격리, 임의가동 방지, 접근 통제를 우선해야 합...</x:v>
      </x:c>
      <x:c r="O25" s="13" t="str">
        <x:v>기존 수동평가 5개 항목을 4개 기준·100점 만점으로 표준화</x:v>
      </x:c>
    </x:row>
    <x:row r="26" ht="58" customHeight="1">
      <x:c r="A26" s="13" t="str">
        <x:v>Q025</x:v>
      </x:c>
      <x:c r="B26" s="13" t="str">
        <x:v>광산안전법</x:v>
      </x:c>
      <x:c r="C26" s="13" t="str">
        <x:v>광산안전법 관점에서 광산 관리자가 일상적으로 점검하고 기록해야 할 안전관리 사항은 뭐야?</x:v>
      </x:c>
      <x:c r="D26" s="15" t="n">
        <x:v>20</x:v>
      </x:c>
      <x:c r="E26" s="15" t="n">
        <x:v>23</x:v>
      </x:c>
      <x:c r="F26" s="15" t="n">
        <x:v>15</x:v>
      </x:c>
      <x:c r="G26" s="15" t="n">
        <x:v>15</x:v>
      </x:c>
      <x:c r="H26" s="15" t="n">
        <x:v>73</x:v>
      </x:c>
      <x:c r="I26" s="16" t="str">
        <x:v>보통</x:v>
      </x:c>
      <x:c r="J26" s="13" t="str">
        <x:v>Y</x:v>
      </x:c>
      <x:c r="K26" s="13" t="str">
        <x:v>기존 수동평가 환산: 검색정확도 4.0/5×5; 근거성 4.0/5와 환각억제 5.0/5 평균×5; 답변정확도 3.0/5×5; 실무성 3.0/5×5; 기존 메모: 광산안전법 관점에서 광산 관리자가 일상적으로 점검하고 기록해야 할 안전관리 사항을 묻는 질문에 대해 시스템은 광산안전업무 처리지침, 광산안전법 시행규칙, 광산안전기술기준을 검색하여 비교적 적절한 근거를 제시하였다. 검색 근거에는 위험 발생 보고, 작업 전·작업 중 작업장 검사, 천장·측벽·작업면 점검, 부석 등 위험요소 제거와 관련된 내용이 포함되어 질문과의 관련성이 있다. 다만 답변은 일반 광산 안전 유형으로 분류되어 작업중지, 출입통제, 대피 등 일반 조치 위주로 제시되었고, 일상 점검 및 기록 항목인 환기·유해가스·분진, 낙반·지보, 전기·기계·운반 설비, 보호구, 안전교육, 비상연락체계, 점검 결과 기록 및 보고 절차를 체계적으로 제시하지 못하였다. 따라서 검색정확도와 근거성은 양호하나 답변정확도와 실무성은 일부 감점하였다.; 총점 80점 미만 또는 세부 기준 15점 미만으로 수동 검토 권장</x:v>
      </x:c>
      <x:c r="L26" s="13" t="str">
        <x:v>10_광산안전업무_처리지침_2025-35_latest.txt,08_광산안전법_시행규칙.txt,09_광산안전기술기준_제10차개정_2024-12-19.txt</x:v>
      </x:c>
      <x:c r="M26" s="13" t="str">
        <x:v>chunk_00345,chunk_00288,chunk_00300</x:v>
      </x:c>
      <x:c r="N26"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광산안전법 관점에서 광산 관리자가 일상적으로 점검하고 기록해야 할 안전관리 사항은 뭐야? ## 즉시 판단 - 상황 유형: 일반 광산 안전 - 검색된 근거 문서를 기준으로 위험요인을 먼저 확인하고, 급박한 위험이 있으면 작업중지와 대피를 우선 검토해야 합니다. ## 우선 조치...</x:v>
      </x:c>
      <x:c r="O26" s="13" t="str">
        <x:v>기존 수동평가 5개 항목을 4개 기준·100점 만점으로 표준화</x:v>
      </x:c>
    </x:row>
    <x:row r="27" ht="58" customHeight="1">
      <x:c r="A27" s="13" t="str">
        <x:v>Q026</x:v>
      </x:c>
      <x:c r="B27" s="13" t="str">
        <x:v>광산안전기술기준</x:v>
      </x:c>
      <x:c r="C27" s="13" t="str">
        <x:v>갱내 통로, 조명, 표지판, 대피로를 점검할 때 광산안전기술기준상 어떤 요소를 봐야 해?</x:v>
      </x:c>
      <x:c r="D27" s="15" t="n">
        <x:v>25</x:v>
      </x:c>
      <x:c r="E27" s="15" t="n">
        <x:v>23</x:v>
      </x:c>
      <x:c r="F27" s="15" t="n">
        <x:v>15</x:v>
      </x:c>
      <x:c r="G27" s="15" t="n">
        <x:v>15</x:v>
      </x:c>
      <x:c r="H27" s="15" t="n">
        <x:v>78</x:v>
      </x:c>
      <x:c r="I27" s="16" t="str">
        <x:v>보통</x:v>
      </x:c>
      <x:c r="J27" s="13" t="str">
        <x:v>Y</x:v>
      </x:c>
      <x:c r="K27" s="13" t="str">
        <x:v>기존 수동평가 환산: 검색정확도 5.0/5×5; 근거성 4.0/5와 환각억제 5.0/5 평균×5; 답변정확도 3.0/5×5; 실무성 3.0/5×5; 기존 메모: 갱내 통로, 조명, 표지판, 대피로를 점검할 때 광산안전기술기준상 확인해야 할 요소를 묻는 질문에 대해 시스템은 광산안전기술기준, 광산안전법 시행령, 광산안전법 시행규칙을 검색하여 관련성이 높은 근거를 제시하였다. 검색 근거에는 조명 또는 안내표지 설치, 경사지역 위험표시, 주요 통행장소와 운반갱도 순회 점검, 위험성 유무 검사, 점검 결과 기록 등이 포함되어 질문과의 관련성이 높다. 다만 시스템은 질문을 통행·표지·대피로 점검 유형이 아니라 전기안전 유형으로 분류하여 전원 차단, 무전압 확인, 접지·절연·누전차단기, 케이블 점검 등 감전 예방 조치 위주로 답변하였다. 따라서 검색정확도는 높지만, 질문의 핵심인 통로 확보, 조명 상태, 안내·위험표지, 대피로 확보, 통행장소 점검, 안전일지 기록 등이 충분히 답변에 반영되지 않아 답변정확도와 실무성을 일부 감점하였다.; 총점 80점 미만 또는 세부 기준 15점 미만으로 수동 검토 권장</x:v>
      </x:c>
      <x:c r="L27" s="13" t="str">
        <x:v>09_광산안전기술기준_제10차개정_2024-12-19.txt,07_광산안전법_시행령.txt,08_광산안전법_시행규칙.txt</x:v>
      </x:c>
      <x:c r="M27" s="13" t="str">
        <x:v>chunk_00317,chunk_00269,chunk_00285</x:v>
      </x:c>
      <x:c r="N27"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갱내 통로, 조명, 표지판, 대피로를 점검할 때 광산안전기술기준상 어떤 요소를 봐야 해? ## 즉시 판단 - 상황 유형: 전기안전 - 습기나 누전 우려가 있는 갱내 전기설비는 바로 점검을 시작하지 말고 먼저 전원을 차단해야 합니다. 임의 투입 방지, 접근통제, 접지·절연·누전...</x:v>
      </x:c>
      <x:c r="O27" s="13" t="str">
        <x:v>기존 수동평가 5개 항목을 4개 기준·100점 만점으로 표준화</x:v>
      </x:c>
    </x:row>
    <x:row r="28" ht="58" customHeight="1">
      <x:c r="A28" s="13" t="str">
        <x:v>Q027</x:v>
      </x:c>
      <x:c r="B28" s="13" t="str">
        <x:v>비상대응</x:v>
      </x:c>
      <x:c r="C28" s="13" t="str">
        <x:v>갱내 화재 또는 연기 발생 가능성이 있을 때 현장 관리자가 즉시 가동해야 할 비상대응 절차는 뭐야?</x:v>
      </x:c>
      <x:c r="D28" s="15" t="n">
        <x:v>20</x:v>
      </x:c>
      <x:c r="E28" s="15" t="n">
        <x:v>23</x:v>
      </x:c>
      <x:c r="F28" s="15" t="n">
        <x:v>20</x:v>
      </x:c>
      <x:c r="G28" s="15" t="n">
        <x:v>20</x:v>
      </x:c>
      <x:c r="H28" s="15" t="n">
        <x:v>83</x:v>
      </x:c>
      <x:c r="I28" s="16" t="str">
        <x:v>우수</x:v>
      </x:c>
      <x:c r="J28" s="13" t="str">
        <x:v>N</x:v>
      </x:c>
      <x:c r="K28" s="13" t="str">
        <x:v>기존 수동평가 환산: 검색정확도 4.0/5×5; 근거성 4.0/5와 환각억제 5.0/5 평균×5; 답변정확도 4.0/5×5; 실무성 4.0/5×5; 기존 메모: 갱내 화재 또는 연기 발생 가능성이 있는 상황에 대해 시스템은 화재/폭발 유형으로 적절히 분류하고, 작업중지, 작업자 대피, 비상연락, 신고, 인원 확인, 안전이 확보되는 범위의 초기 대응 등 기본적인 비상대응 절차를 제시하였다. 검색 결과에는 안전보건관리체계 구축 가이드북과 광산안전기술기준이 포함되었으며, 광산안전기술기준에서 발화성물질 관리, 화재감지기, 소화시설, 통신시설 관련 내용이 검색되어 관련성이 있다. 다만 답변에서 대피로 확보, 연기·유해가스 흡입 방지, 환기 조절, 재진입 금지, 구조 요청, 소화시설 사용 기준 등이 더 구체적으로 제시되면 실무성이 더욱 향상될 수 있다.; 기존 수동평가 점수가 모두 확인되어 표준 환산 완료</x:v>
      </x:c>
      <x:c r="L28" s="13" t="str">
        <x:v>11_안전보건관리체계_구축_가이드북.txt,09_광산안전기술기준_제10차개정_2024-12-19.txt,09_광산안전기술기준_제10차개정_2024-12-19.txt</x:v>
      </x:c>
      <x:c r="M28" s="13" t="str">
        <x:v>chunk_00402,chunk_00299,chunk_00329</x:v>
      </x:c>
      <x:c r="N28"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갱내 화재 또는 연기 발생 가능성이 있을 때 현장 관리자가 즉시 가동해야 할 비상대응 절차는 뭐야? ## 즉시 판단 - 상황 유형: 화재/폭발 - 화재, 폭발, 연기가 의심되면 작업중지, 대피, 신고, 가능한 범위의 초기 대응을 우선해야 합니다. ## 우선 조치 - 작업중지와...</x:v>
      </x:c>
      <x:c r="O28" s="13" t="str">
        <x:v>기존 수동평가 5개 항목을 4개 기준·100점 만점으로 표준화</x:v>
      </x:c>
    </x:row>
    <x:row r="29" ht="58" customHeight="1">
      <x:c r="A29" s="13" t="str">
        <x:v>Q028</x:v>
      </x:c>
      <x:c r="B29" s="13" t="str">
        <x:v>분진/건강장해</x:v>
      </x:c>
      <x:c r="C29" s="13" t="str">
        <x:v>굴진과 파쇄 작업에서 분진 노출을 줄이기 위해 관리자가 작업 전후로 확인해야 할 사항은 뭐야?</x:v>
      </x:c>
      <x:c r="D29" s="15" t="n">
        <x:v>20</x:v>
      </x:c>
      <x:c r="E29" s="15" t="n">
        <x:v>20</x:v>
      </x:c>
      <x:c r="F29" s="15" t="n">
        <x:v>10</x:v>
      </x:c>
      <x:c r="G29" s="15" t="n">
        <x:v>10</x:v>
      </x:c>
      <x:c r="H29" s="15" t="n">
        <x:v>60</x:v>
      </x:c>
      <x:c r="I29" s="16" t="str">
        <x:v>보완 필요</x:v>
      </x:c>
      <x:c r="J29" s="13" t="str">
        <x:v>Y</x:v>
      </x:c>
      <x:c r="K29" s="13" t="str">
        <x:v>기존 수동평가 환산: 검색정확도 4.0/5×5; 근거성 3.0/5와 환각억제 5.0/5 평균×5; 답변정확도 2.0/5×5; 실무성 2.0/5×5; 기존 메모: 굴진과 파쇄 작업에서 분진 노출을 줄이기 위해 작업 전후 확인해야 할 사항을 묻는 질문이었으나, 시스템은 이를 분진/보호구/작업환경관리 유형이 아니라 발파/불발 유형으로 분류하였다. 답변은 불발 의심 장소 접근 금지, 위험구역 출입통제, 발파 책임자 확인, 불발화약류 확인 등 발파 관련 조치 위주로 제시되어 질문의 핵심인 분진 발생원 관리, 살수·집진·환기, 방진마스크 또는 호흡보호구 착용 확인, 작업환경측정, 노출 기준 초과 여부 확인, 작업 후 분진 제거와 기록 관리가 충분히 반영되지 않았다. 검색 결과에는 광산안전기술기준, 광산안전업무 처리지침, 광산안전법 시행규칙이 포함되어 광산 작업과의 관련성은 있으나, 답변 템플릿이 잘못 적용되어 답변정확도와 실무성을 감점하였다.; 총점 80점 미만 또는 세부 기준 15점 미만으로 수동 검토 권장</x:v>
      </x:c>
      <x:c r="L29" s="13" t="str">
        <x:v>09_광산안전기술기준_제10차개정_2024-12-19.txt,10_광산안전업무_처리지침_2025-35_latest.txt,08_광산안전법_시행규칙.txt</x:v>
      </x:c>
      <x:c r="M29" s="13" t="str">
        <x:v>chunk_00333,chunk_00346,chunk_00288</x:v>
      </x:c>
      <x:c r="N29"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굴진과 파쇄 작업에서 분진 노출을 줄이기 위해 관리자가 작업 전후로 확인해야 할 사항은 뭐야? ## 즉시 판단 - 상황 유형: 발파/불발 - 불발이 의심되면 작업자의 임의 접근을 금지하고 위험구역 출입통제와 대피를 유지해야 합니다. 발파 책임자 또는 안전관리자가 불발 여부와...</x:v>
      </x:c>
      <x:c r="O29" s="13" t="str">
        <x:v>기존 수동평가 5개 항목을 4개 기준·100점 만점으로 표준화</x:v>
      </x:c>
    </x:row>
    <x:row r="30" ht="58" customHeight="1">
      <x:c r="A30" s="13" t="str">
        <x:v>Q029</x:v>
      </x:c>
      <x:c r="B30" s="13" t="str">
        <x:v>관리감독자 역할</x:v>
      </x:c>
      <x:c r="C30" s="13" t="str">
        <x:v>현장 관리감독자가 매일 작업 시작 전 실시해야 할 광산 안전 점검 회의 내용은 어떻게 구성하면 좋아?</x:v>
      </x:c>
      <x:c r="D30" s="15" t="n">
        <x:v>25</x:v>
      </x:c>
      <x:c r="E30" s="15" t="n">
        <x:v>25</x:v>
      </x:c>
      <x:c r="F30" s="15" t="n">
        <x:v>15</x:v>
      </x:c>
      <x:c r="G30" s="15" t="n">
        <x:v>15</x:v>
      </x:c>
      <x:c r="H30" s="15" t="n">
        <x:v>80</x:v>
      </x:c>
      <x:c r="I30" s="16" t="str">
        <x:v>우수</x:v>
      </x:c>
      <x:c r="J30" s="13" t="str">
        <x:v>N</x:v>
      </x:c>
      <x:c r="K30" s="13" t="str">
        <x:v>기존 수동평가 환산: 검색정확도 5.0/5×5; 근거성 5.0/5와 환각억제 5.0/5 평균×5; 답변정확도 3.0/5×5; 실무성 3.0/5×5; 기존 메모: 현장 관리감독자가 매일 작업 시작 전 실시해야 할 광산 안전 점검회의 구성을 묻는 질문에 대해 시스템은 위험성평가 안내서, 광산안전기술기준, 광산안전법 시행규칙을 검색하였다. 특히 위험성평가 안내서에서 작업 전 안전점검회의, 매 작업일마다 유의해야 할 유해·위험요인 전달, 근로자 주의사항 공유, 회의 실시 기록 및 참여 입증 관련 내용이 검색되어 질문과의 직접 관련성이 높다. 다만 답변은 일반 광산 안전 유형으로 분류되어 작업중지, 출입통제, 대피 등 일반 조치 위주로 제시되었고, 실제 회의 구성 항목인 당일 작업 내용, 주요 위험요인, 보호구 착용, 낙반·환기·발파·운반·전기 위험, 대피로, 비상연락망, 작업자 역할, 전일 지적사항, 참석자 기록 등을 체계적으로 제시하지 못하였다. 따라서 검색정확도와 근거성은 높지만 답변정확도와 실무성은 일부 감점하였다.; 기존 수동평가 점수가 모두 확인되어 표준 환산 완료</x:v>
      </x:c>
      <x:c r="L30" s="13" t="str">
        <x:v>13_2023_새로운_위험성평가_안내서.txt,09_광산안전기술기준_제10차개정_2024-12-19.txt,08_광산안전법_시행규칙.txt</x:v>
      </x:c>
      <x:c r="M30" s="13" t="str">
        <x:v>chunk_00486,chunk_00317,chunk_00284</x:v>
      </x:c>
      <x:c r="N30"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현장 관리감독자가 매일 작업 시작 전 실시해야 할 광산 안전 점검 회의 내용은 어떻게 구성하면 좋아? ## 즉시 판단 - 상황 유형: 일반 광산 안전 - 검색된 근거 문서를 기준으로 위험요인을 먼저 확인하고, 급박한 위험이 있으면 작업중지와 대피를 우선 검토해야 합니다. ##...</x:v>
      </x:c>
      <x:c r="O30" s="13" t="str">
        <x:v>기존 수동평가 5개 항목을 4개 기준·100점 만점으로 표준화</x:v>
      </x:c>
    </x:row>
    <x:row r="31" ht="58" customHeight="1">
      <x:c r="A31" s="13" t="str">
        <x:v>Q030</x:v>
      </x:c>
      <x:c r="B31" s="13" t="str">
        <x:v>종합 시나리오</x:v>
      </x:c>
      <x:c r="C31" s="13" t="str">
        <x:v>발파 후 환기가 충분하지 않고 운반차량까지 투입해야 하는 복합 작업 상황에서 관리자는 어떤 순서로 위험을 통제해야 해?</x:v>
      </x:c>
      <x:c r="D31" s="15" t="n">
        <x:v>20</x:v>
      </x:c>
      <x:c r="E31" s="15" t="n">
        <x:v>20</x:v>
      </x:c>
      <x:c r="F31" s="15" t="n">
        <x:v>15</x:v>
      </x:c>
      <x:c r="G31" s="15" t="n">
        <x:v>15</x:v>
      </x:c>
      <x:c r="H31" s="15" t="n">
        <x:v>70</x:v>
      </x:c>
      <x:c r="I31" s="16" t="str">
        <x:v>보통</x:v>
      </x:c>
      <x:c r="J31" s="13" t="str">
        <x:v>Y</x:v>
      </x:c>
      <x:c r="K31" s="13" t="str">
        <x:v>기존 수동평가 환산: 검색정확도 4.0/5×5; 근거성 3.0/5와 환각억제 5.0/5 평균×5; 답변정확도 3.0/5×5; 실무성 3.0/5×5; 기존 메모: 발파 후 환기가 충분하지 않고 운반차량까지 투입해야 하는 복합 작업 상황에서 위험 통제 순서를 묻는 질문에 대해 시스템은 발파/불발 유형으로 분류하고, 불발 의심 장소 접근 금지, 위험구역 출입통제, 발파 책임자 확인, 불발 여부 확인 전 작업 재개 금지, 후가스·메탄가스·낙반·부석 확인 등 발파 후 재출입 관련 조치를 제시하였다. 이는 질문의 일부와는 관련성이 있으나, 질문의 핵심인 환기 불충분 상태에서의 유해가스·산소농도 측정, 환기설비 확인, 운반차량 투입 전 통행로·작업자 위치·신호체계 확인, 차량과 보행자 동선 분리, 단계별 작업 재개 승인 등 복합위험 통제 순서가 충분히 반영되지 않았다. 검색 결과는 광산안전기술기준, 광산안전법 시행규칙, 광산안전업무 처리지침 등 광산 특화 문서가 포함되어 기본 관련성은 있으나, 환기·유해가스 및 운반장비 관련 직접 근거가 함께 검색되면 근거성이 더 높아질 수 있다.; 총점 80점 미만 또는 세부 기준 15점 미만으로 수동 검토 권장</x:v>
      </x:c>
      <x:c r="L31" s="13" t="str">
        <x:v>09_광산안전기술기준_제10차개정_2024-12-19.txt,08_광산안전법_시행규칙.txt,10_광산안전업무_처리지침_2025-35_latest.txt</x:v>
      </x:c>
      <x:c r="M31" s="13" t="str">
        <x:v>chunk_00306,chunk_00284,chunk_00355</x:v>
      </x:c>
      <x:c r="N31" s="13" t="str">
        <x:v>## 검색 근거 기반 안전 답변 외부 LLM API 호출 없이, 검색된 법령·지침 근거를 바탕으로 안전 답변을 제공합니다. 아래 내용은 검색 결과 기반 요약이며, 실제 현장 조치와 법령 해석은 담당 안전관리자, 관계 기관, 전문가 확인이 필요합니다. ## 질문 발파 후 환기가 충분하지 않고 운반차량까지 투입해야 하는 복합 작업 상황에서 관리자는 어떤 순서로 위험을 통제해야 해? ## 즉시 판단 - 상황 유형: 발파/불발 - 불발이 의심되면 작업자의 임의 접근을 금지하고 위험구역 출입통제와 대피를 유지해야 합니다. 발파 책임자 또는...</x:v>
      </x:c>
      <x:c r="O31" s="13" t="str">
        <x:v>기존 수동평가 5개 항목을 4개 기준·100점 만점으로 표준화</x:v>
      </x:c>
    </x:row>
    <x:row r="32" ht="58" customHeight="1">
      <x:c r="A32" s="13" t="str">
        <x:v>Q031</x:v>
      </x:c>
      <x:c r="B32" s="13" t="str">
        <x:v>TBM(툴박스 미팅)</x:v>
      </x:c>
      <x:c r="C32" s="13" t="str">
        <x:v>작업 시작 전에 TBM 공정별 위험요인을 공유할 때 관리자가 먼저 확인해야 할 항목은 무엇인가?</x:v>
      </x:c>
      <x:c r="D32" s="15" t="n">
        <x:v>16</x:v>
      </x:c>
      <x:c r="E32" s="15" t="n">
        <x:v>20</x:v>
      </x:c>
      <x:c r="F32" s="15" t="n">
        <x:v>19</x:v>
      </x:c>
      <x:c r="G32" s="15" t="n">
        <x:v>19</x:v>
      </x:c>
      <x:c r="H32" s="15" t="n">
        <x:v>74</x:v>
      </x:c>
      <x:c r="I32" s="16" t="str">
        <x:v>보통</x:v>
      </x:c>
      <x:c r="J32" s="13" t="str">
        <x:v>Y</x:v>
      </x:c>
      <x:c r="K32" s="13" t="str">
        <x:v>총점이 80점 미만</x:v>
      </x:c>
      <x:c r="L32" s="13" t="str">
        <x:v>13_2023_새로운_위험성평가_안내서.txt,11_안전보건관리체계_구축_가이드북.txt,11_안전보건관리체계_구축_가이드북.txt,11_안전보건관리체계_구축_가이드북.txt,11_안전보건관리체계_구축_가이드북.txt</x:v>
      </x:c>
      <x:c r="M32" s="13" t="str">
        <x:v>chunk_00454,chunk_00397,chunk_00416,chunk_00402,chunk_00374</x:v>
      </x:c>
      <x:c r="N32" s="13" t="str">
        <x:v>1차 자동 평가용 답변 초안
질문: 작업 시작 전에 TBM 공정별 위험요인을 공유할 때 관리자가 먼저 확인해야 할 항목은 무엇인가?
근거 요약:
- 13_2023_새로운_위험성평가_안내서.txt | chunk_id chunk_00454 | 든 근로자가 알아야 합니다. 기존 위험성평가 결과 모두 제거되지 않고 남은 위험이 있는 경우에만 근로자에게 알리도록 되어 있었습니다. 개선 위험성평가 결과의 전반을 근로자와 공유하고, 무엇보다 중요한 유해·위험요인은 작업 전 안전점검회의(TBM)를 통해 상시적으로 근로자들에게 알리도록 합니다. 6. 이 밖에도 ‘아차사고’를 일으킨 유해·위험요인은 위험성평가를 실시하여야 합니다. * [아차사고...
- 11_안전보건관리체계_구축_가이드북.txt | chunk_id chunk_00397 | 위험성평가 사전활동 실시 연간·월간·일일 안전관리 계획 수립으로 주기별 안전관리 활동사항 공유·실천 일일 ‘작업안전회의’ 개최 및 결정사항은 ‘TBM(작업 전 안전미팅)’에서 전파 안전보건관리체계 point ===== PAGE 85 ===== 84 key point 중대재해 발생에 대처할 수 있는 비상조치계획을 수립 하고 준비함으로써 피해를 최소화할 수 있습니다. 실행방법 위험요인별로 어떤...
- 11_안전보건관리체계_구축_가이드북.txt | chunk_id chunk_00416 | 등 개인보호구 미사용 ➍ 작업지휘자 부재 재해예방 대책 ➊ 안전한 달비계 사용 ➋ 기본 안전수칙에 대한 정기적인 교육 실시 ➌ 작업 전 안전미팅 활동(TBM) 실시 ➍ 작업 전 관리감독자가 기본 안전수칙 준수 여부 확인 로프 고정 2개 이상의 지지점에 견고히 고정합니다. 로프 점검 고정점과 로프의 안전성을 점검합니다. 구명줄 설치 별도의 고정점과 연결된 구명줄을 설치합니다. 개인보호구 안전대...
현장 조치 기준: 작업 전 위험요인 확인, 작업중지·대피 기준, 보고·기록 절차, 보호구·환기·가스측정 여부 확인</x:v>
      </x:c>
      <x:c r="O32" s="13" t="str">
        <x:v>1차 자동 평가(rule-based)</x:v>
      </x:c>
    </x:row>
    <x:row r="33" ht="58" customHeight="1">
      <x:c r="A33" s="13" t="str">
        <x:v>Q032</x:v>
      </x:c>
      <x:c r="B33" s="13" t="str">
        <x:v>TBM(툴박스 미팅)</x:v>
      </x:c>
      <x:c r="C33" s="13" t="str">
        <x:v>TBM 작업 전 안전회의에서 작업자에게 무엇을 우선적으로 안내해야 하나?</x:v>
      </x:c>
      <x:c r="D33" s="15" t="n">
        <x:v>18</x:v>
      </x:c>
      <x:c r="E33" s="15" t="n">
        <x:v>20</x:v>
      </x:c>
      <x:c r="F33" s="15" t="n">
        <x:v>19</x:v>
      </x:c>
      <x:c r="G33" s="15" t="n">
        <x:v>19</x:v>
      </x:c>
      <x:c r="H33" s="15" t="n">
        <x:v>76</x:v>
      </x:c>
      <x:c r="I33" s="16" t="str">
        <x:v>보통</x:v>
      </x:c>
      <x:c r="J33" s="13" t="str">
        <x:v>Y</x:v>
      </x:c>
      <x:c r="K33" s="13" t="str">
        <x:v>총점이 80점 미만</x:v>
      </x:c>
      <x:c r="L33" s="13" t="str">
        <x:v>13_2023_새로운_위험성평가_안내서.txt,11_안전보건관리체계_구축_가이드북.txt,11_안전보건관리체계_구축_가이드북.txt,13_2023_새로운_위험성평가_안내서.txt,11_안전보건관리체계_구축_가이드북.txt</x:v>
      </x:c>
      <x:c r="M33" s="13" t="str">
        <x:v>chunk_00486,chunk_00374,chunk_00416,chunk_00454,chunk_00397</x:v>
      </x:c>
      <x:c r="N33" s="13" t="str">
        <x:v>1차 자동 평가용 답변 초안
질문: TBM 작업 전 안전회의에서 작업자에게 무엇을 우선적으로 안내해야 하나?
근거 요약: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- 11_안전보건관리체계_구축_가이드북.txt | chunk_id chunk_00416 | 등 개인보호구 미사용 ➍ 작업지휘자 부재 재해예방 대책 ➊ 안전한 달비계 사용 ➋ 기본 안전수칙에 대한 정기적인 교육 실시 ➌ 작업 전 안전미팅 활동(TBM) 실시 ➍ 작업 전 관리감독자가 기본 안전수칙 준수 여부 확인 로프 고정 2개 이상의 지지점에 견고히 고정합니다. 로프 점검 고정점과 로프의 안전성을 점검합니다. 구명줄 설치 별도의 고정점과 연결된 구명줄을 설치합니다. 개인보호구 안전대...
현장 조치 기준: 작업 전 위험요인 확인, 작업중지·대피 기준, 보고·기록 절차, 보호구·환기·가스측정 여부 확인</x:v>
      </x:c>
      <x:c r="O33" s="13" t="str">
        <x:v>1차 자동 평가(rule-based)</x:v>
      </x:c>
    </x:row>
    <x:row r="34" ht="58" customHeight="1">
      <x:c r="A34" s="13" t="str">
        <x:v>Q033</x:v>
      </x:c>
      <x:c r="B34" s="13" t="str">
        <x:v>TBM(툴박스 미팅)</x:v>
      </x:c>
      <x:c r="C34" s="13" t="str">
        <x:v>TBM 굴진 전 작업 계획 변경이 있는 경우 관리자가 다시 확인해야 할 사항은 무엇인가?</x:v>
      </x:c>
      <x:c r="D34" s="15" t="n">
        <x:v>13</x:v>
      </x:c>
      <x:c r="E34" s="15" t="n">
        <x:v>20</x:v>
      </x:c>
      <x:c r="F34" s="15" t="n">
        <x:v>19</x:v>
      </x:c>
      <x:c r="G34" s="15" t="n">
        <x:v>19</x:v>
      </x:c>
      <x:c r="H34" s="15" t="n">
        <x:v>71</x:v>
      </x:c>
      <x:c r="I34" s="16" t="str">
        <x:v>보통</x:v>
      </x:c>
      <x:c r="J34" s="13" t="str">
        <x:v>Y</x:v>
      </x:c>
      <x:c r="K34" s="13" t="str">
        <x:v>총점이 80점 미만</x:v>
      </x:c>
      <x:c r="L34" s="13" t="str">
        <x:v>03_산업안전보건법.txt,11_안전보건관리체계_구축_가이드북.txt,05_산업안전보건법_시행규칙.txt,03_산업안전보건법.txt,03_산업안전보건법.txt</x:v>
      </x:c>
      <x:c r="M34" s="13" t="str">
        <x:v>chunk_00047,chunk_00397,chunk_00159,chunk_00039,chunk_00031</x:v>
      </x:c>
      <x:c r="N34" s="13" t="str">
        <x:v>1차 자동 평가용 답변 초안
질문: TBM 굴진 전 작업 계획 변경이 있는 경우 관리자가 다시 확인해야 할 사항은 무엇인가?
근거 요약: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- 11_안전보건관리체계_구축_가이드북.txt | chunk_id chunk_00397 | 위험성평가 사전활동 실시 연간·월간·일일 안전관리 계획 수립으로 주기별 안전관리 활동사항 공유·실천 일일 ‘작업안전회의’ 개최 및 결정사항은 ‘TBM(작업 전 안전미팅)’에서 전파 안전보건관리체계 point ===== PAGE 85 ===== 84 key point 중대재해 발생에 대처할 수 있는 비상조치계획을 수립 하고 준비함으로써 피해를 최소화할 수 있습니다. 실행방법 위험요인별로 어떤...
- 05_산업안전보건법_시행규칙.txt | chunk_id chunk_00159 | 는 보건관리 상태를 정기적으로 점검해야 하며, 점검 결과 법령위반사항을 발견한 경우에는 그 위반사항과 구체적인 개선 대책을 해당 사업주에게 지체 없이 통보 해야 한다. ② 안전관리전문기관 또는 보건관리전문기관은 고용노동부장관이 정하는 바에 따라 매월 안전관리ㆍ보건관리 상 태에 관한 보고서를 작성하여 다음 달 10일까지 고용노동부장관이 정하는 전산시스템에 등록하고 사업주에게 제출 해야 한다....
현장 조치 기준: 작업 전 위험요인 확인, 작업중지·대피 기준, 보고·기록 절차, 보호구·환기·가스측정 여부 확인</x:v>
      </x:c>
      <x:c r="O34" s="13" t="str">
        <x:v>1차 자동 평가(rule-based)</x:v>
      </x:c>
    </x:row>
    <x:row r="35" ht="58" customHeight="1">
      <x:c r="A35" s="13" t="str">
        <x:v>Q034</x:v>
      </x:c>
      <x:c r="B35" s="13" t="str">
        <x:v>발파/불발</x:v>
      </x:c>
      <x:c r="C35" s="13" t="str">
        <x:v>발파 전 주변 작업자에게 불발 가능성을 어떻게 공유하고 통제해야 하나?</x:v>
      </x:c>
      <x:c r="D35" s="15" t="n">
        <x:v>6</x:v>
      </x:c>
      <x:c r="E35" s="15" t="n">
        <x:v>16</x:v>
      </x:c>
      <x:c r="F35" s="15" t="n">
        <x:v>19</x:v>
      </x:c>
      <x:c r="G35" s="15" t="n">
        <x:v>19</x:v>
      </x:c>
      <x:c r="H35" s="15" t="n">
        <x:v>60</x:v>
      </x:c>
      <x:c r="I35" s="16" t="str">
        <x:v>보완 필요</x:v>
      </x:c>
      <x:c r="J35" s="13" t="str">
        <x:v>Y</x:v>
      </x:c>
      <x:c r="K35" s="13" t="str">
        <x:v>총점이 80점 미만; 예상 키워드 매칭 약함; 상위 근거 연관성 약함</x:v>
      </x:c>
      <x:c r="L35" s="13" t="str">
        <x:v>11_안전보건관리체계_구축_가이드북.txt,05_산업안전보건법_시행규칙.txt,05_산업안전보건법_시행규칙.txt,13_2023_새로운_위험성평가_안내서.txt,13_2023_새로운_위험성평가_안내서.txt</x:v>
      </x:c>
      <x:c r="M35" s="13" t="str">
        <x:v>chunk_00374,chunk_00195,chunk_00194,chunk_00472,chunk_00486</x:v>
      </x:c>
      <x:c r="N35" s="13" t="str">
        <x:v>1차 자동 평가용 답변 초안
질문: 발파 전 주변 작업자에게 불발 가능성을 어떻게 공유하고 통제해야 하나?
근거 요약: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- 05_산업안전보건법_시행규칙.txt | chunk_id chunk_00195 |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
- 05_산업안전보건법_시행규칙.txt | chunk_id chunk_00194 |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현장 조치 기준: 작업 전 위험요인 확인, 작업중지·대피 기준, 보고·기록 절차, 보호구·환기·가스측정 여부 확인</x:v>
      </x:c>
      <x:c r="O35" s="13" t="str">
        <x:v>1차 자동 평가(rule-based)</x:v>
      </x:c>
    </x:row>
    <x:row r="36" ht="58" customHeight="1">
      <x:c r="A36" s="13" t="str">
        <x:v>Q035</x:v>
      </x:c>
      <x:c r="B36" s="13" t="str">
        <x:v>발파/불발</x:v>
      </x:c>
      <x:c r="C36" s="13" t="str">
        <x:v>불발 의심 구역에서 작업 재개 전 관리자가 확인해야 할 최소 기준은 무엇인가?</x:v>
      </x:c>
      <x:c r="D36" s="15" t="n">
        <x:v>8</x:v>
      </x:c>
      <x:c r="E36" s="15" t="n">
        <x:v>16</x:v>
      </x:c>
      <x:c r="F36" s="15" t="n">
        <x:v>19</x:v>
      </x:c>
      <x:c r="G36" s="15" t="n">
        <x:v>19</x:v>
      </x:c>
      <x:c r="H36" s="15" t="n">
        <x:v>62</x:v>
      </x:c>
      <x:c r="I36" s="16" t="str">
        <x:v>보완 필요</x:v>
      </x:c>
      <x:c r="J36" s="13" t="str">
        <x:v>Y</x:v>
      </x:c>
      <x:c r="K36" s="13" t="str">
        <x:v>총점이 80점 미만; 예상 키워드 매칭 약함; 상위 근거 연관성 약함</x:v>
      </x:c>
      <x:c r="L36" s="13" t="str">
        <x:v>04_산업안전보건법_시행령.txt,03_산업안전보건법.txt,05_산업안전보건법_시행규칙.txt,13_2023_새로운_위험성평가_안내서.txt,11_안전보건관리체계_구축_가이드북.txt</x:v>
      </x:c>
      <x:c r="M36" s="13" t="str">
        <x:v>chunk_00107,chunk_00039,chunk_00159,chunk_00457,chunk_00374</x:v>
      </x:c>
      <x:c r="N36" s="13" t="str">
        <x:v>1차 자동 평가용 답변 초안
질문: 불발 의심 구역에서 작업 재개 전 관리자가 확인해야 할 최소 기준은 무엇인가?
근거 요약: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- 05_산업안전보건법_시행규칙.txt | chunk_id chunk_00159 | 는 보건관리 상태를 정기적으로 점검해야 하며, 점검 결과 법령위반사항을 발견한 경우에는 그 위반사항과 구체적인 개선 대책을 해당 사업주에게 지체 없이 통보 해야 한다. ② 안전관리전문기관 또는 보건관리전문기관은 고용노동부장관이 정하는 바에 따라 매월 안전관리ㆍ보건관리 상 태에 관한 보고서를 작성하여 다음 달 10일까지 고용노동부장관이 정하는 전산시스템에 등록하고 사업주에게 제출 해야 한다....
현장 조치 기준: 작업 전 위험요인 확인, 작업중지·대피 기준, 보고·기록 절차, 보호구·환기·가스측정 여부 확인</x:v>
      </x:c>
      <x:c r="O36" s="13" t="str">
        <x:v>1차 자동 평가(rule-based)</x:v>
      </x:c>
    </x:row>
    <x:row r="37" ht="58" customHeight="1">
      <x:c r="A37" s="13" t="str">
        <x:v>Q036</x:v>
      </x:c>
      <x:c r="B37" s="13" t="str">
        <x:v>발파/불발</x:v>
      </x:c>
      <x:c r="C37" s="13" t="str">
        <x:v>발파 후 잔류약이 있을 수 있는 구간에서 작업자를 투입하기 전에 무엇을 확인해야 하나?</x:v>
      </x:c>
      <x:c r="D37" s="15" t="n">
        <x:v>20</x:v>
      </x:c>
      <x:c r="E37" s="15" t="n">
        <x:v>20</x:v>
      </x:c>
      <x:c r="F37" s="15" t="n">
        <x:v>19</x:v>
      </x:c>
      <x:c r="G37" s="15" t="n">
        <x:v>19</x:v>
      </x:c>
      <x:c r="H37" s="15" t="n">
        <x:v>78</x:v>
      </x:c>
      <x:c r="I37" s="16" t="str">
        <x:v>보통</x:v>
      </x:c>
      <x:c r="J37" s="13" t="str">
        <x:v>Y</x:v>
      </x:c>
      <x:c r="K37" s="13" t="str">
        <x:v>총점이 80점 미만</x:v>
      </x:c>
      <x:c r="L37" s="13" t="str">
        <x:v>09_광산안전기술기준_제10차개정_2024-12-19.txt,09_광산안전기술기준_제10차개정_2024-12-19.txt,09_광산안전기술기준_제10차개정_2024-12-19.txt,05_산업안전보건법_시행규칙.txt,05_산업안전보건법_시행규칙.txt</x:v>
      </x:c>
      <x:c r="M37" s="13" t="str">
        <x:v>chunk_00307,chunk_00306,chunk_00304,chunk_00239,chunk_00232</x:v>
      </x:c>
      <x:c r="N37" s="13" t="str">
        <x:v>1차 자동 평가용 답변 초안
질문: 발파 후 잔류약이 있을 수 있는 구간에서 작업자를 투입하기 전에 무엇을 확인해야 하나?
근거 요약:
- 09_광산안전기술기준_제10차개정_2024-12-19.txt | chunk_id chunk_00307 | 충분히 확보한 후 접근하여야 한다. 나. 불발된 장약이 있을 때에는 당해 작업자 입회하에 다음 각항의 ===== PAGE 27 ===== - 27 - 규정에 의하여 처리하여야 한다. 1) 불발된 장약공으로부터 60 cm이상(손으로 뚫은 구멍인 경우에는 30 cm이상)의 간격을 두고 평행으로 천공하여 다시 발파하고 불발한 화약류를 회수하여야 한다. 2) 불발된 장약공에 고무호오스로 물을 주입하...
- 09_광산안전기술기준_제10차개정_2024-12-19.txt | chunk_id chunk_00306 |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
- 09_광산안전기술기준_제10차개정_2024-12-19.txt | chunk_id chunk_00304 | 현황을 기록부에 기록보관하여야 한다. 2. 화약류 보관함의 내부는 목재, 외부는 철재로 견고히 제작하고 안전한 장소에 두어야 한다. 3. 석탄광산의 화약발파안전계원은 발파수첩을 휴대하여야 하며 화약류의 사용현황을 발파수첩에 현장에서 기재하여야 한다.제57조(발파 작업 시 화약류의 취급) ①화약류의 사용시 다음 각 호의 사항을 준수하여야 한다. 1. 기폭약포의 제작 가. &lt;삭제&gt; 나. 약포에...
현장 조치 기준: 작업 전 위험요인 확인, 작업중지·대피 기준, 보고·기록 절차, 보호구·환기·가스측정 여부 확인</x:v>
      </x:c>
      <x:c r="O37" s="13" t="str">
        <x:v>1차 자동 평가(rule-based)</x:v>
      </x:c>
    </x:row>
    <x:row r="38" ht="58" customHeight="1">
      <x:c r="A38" s="13" t="str">
        <x:v>Q037</x:v>
      </x:c>
      <x:c r="B38" s="13" t="str">
        <x:v>환기/유해가스</x:v>
      </x:c>
      <x:c r="C38" s="13" t="str">
        <x:v>환기 설비를 가동한 뒤에도 가스 농도가 높은 경우 작업 시작 전 무엇을 먼저 해야 하나?</x:v>
      </x:c>
      <x:c r="D38" s="15" t="n">
        <x:v>18</x:v>
      </x:c>
      <x:c r="E38" s="15" t="n">
        <x:v>20</x:v>
      </x:c>
      <x:c r="F38" s="15" t="n">
        <x:v>19</x:v>
      </x:c>
      <x:c r="G38" s="15" t="n">
        <x:v>19</x:v>
      </x:c>
      <x:c r="H38" s="15" t="n">
        <x:v>76</x:v>
      </x:c>
      <x:c r="I38" s="16" t="str">
        <x:v>보통</x:v>
      </x:c>
      <x:c r="J38" s="13" t="str">
        <x:v>Y</x:v>
      </x:c>
      <x:c r="K38" s="13" t="str">
        <x:v>총점이 80점 미만</x:v>
      </x:c>
      <x:c r="L38" s="13" t="str">
        <x:v>09_광산안전기술기준_제10차개정_2024-12-19.txt,10_광산안전업무_처리지침_2025-35_latest.txt,09_광산안전기술기준_제10차개정_2024-12-19.txt,04_산업안전보건법_시행령.txt,09_광산안전기술기준_제10차개정_2024-12-19.txt</x:v>
      </x:c>
      <x:c r="M38" s="13" t="str">
        <x:v>chunk_00292,chunk_00350,chunk_00296,chunk_00119,chunk_00329</x:v>
      </x:c>
      <x:c r="N38" s="13" t="str">
        <x:v>1차 자동 평가용 답변 초안
질문: 환기 설비를 가동한 뒤에도 가스 농도가 높은 경우 작업 시작 전 무엇을 먼저 해야 하나?
근거 요약:
- 09_광산안전기술기준_제10차개정_2024-12-19.txt | chunk_id chunk_00292 | 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
- 10_광산안전업무_처리지침_2025-35_latest.txt | chunk_id chunk_00350 |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
- 09_광산안전기술기준_제10차개정_2024-12-19.txt | chunk_id chunk_00296 | 의 재료를 사용하여 차단벽을 설치하여야 한다. ④풍문은 항상 닫아두어야 하며 이를 연 광산근로자는 통과 즉시 이를 닫아야 한다.제21조(풍교) 풍교를 설치할 때에는 누풍이 없도록 하고, 철재류, 콘크리트 등의 재료를 사용하여 낙반에 견딜 수 있도록 설치하여야 한다.제22조(통기계통) ①갱내작업장 또는 채굴한 자리의 배기중에 메탄가스 함유율이 제9조의 기준의 0.5배를 초과할 때에는 그 배기를...
현장 조치 기준: 작업 전 위험요인 확인, 작업중지·대피 기준, 보고·기록 절차, 보호구·환기·가스측정 여부 확인</x:v>
      </x:c>
      <x:c r="O38" s="13" t="str">
        <x:v>1차 자동 평가(rule-based)</x:v>
      </x:c>
    </x:row>
    <x:row r="39" ht="58" customHeight="1">
      <x:c r="A39" s="13" t="str">
        <x:v>Q038</x:v>
      </x:c>
      <x:c r="B39" s="13" t="str">
        <x:v>환기/유해가스</x:v>
      </x:c>
      <x:c r="C39" s="13" t="str">
        <x:v>메탄 농도 급상승 시 작업 중인 근로자에게 관리자가 즉시 알려야 할 내용은 무엇인가?</x:v>
      </x:c>
      <x:c r="D39" s="15" t="n">
        <x:v>13</x:v>
      </x:c>
      <x:c r="E39" s="15" t="n">
        <x:v>16</x:v>
      </x:c>
      <x:c r="F39" s="15" t="n">
        <x:v>19</x:v>
      </x:c>
      <x:c r="G39" s="15" t="n">
        <x:v>19</x:v>
      </x:c>
      <x:c r="H39" s="15" t="n">
        <x:v>67</x:v>
      </x:c>
      <x:c r="I39" s="16" t="str">
        <x:v>보완 필요</x:v>
      </x:c>
      <x:c r="J39" s="13" t="str">
        <x:v>Y</x:v>
      </x:c>
      <x:c r="K39" s="13" t="str">
        <x:v>총점이 80점 미만; 예상 키워드 매칭 약함</x:v>
      </x:c>
      <x:c r="L39" s="13" t="str">
        <x:v>03_산업안전보건법.txt,09_광산안전기술기준_제10차개정_2024-12-19.txt,10_광산안전업무_처리지침_2025-35_latest.txt,09_광산안전기술기준_제10차개정_2024-12-19.txt,06_광산안전법.txt</x:v>
      </x:c>
      <x:c r="M39" s="13" t="str">
        <x:v>chunk_00047,chunk_00292,chunk_00344,chunk_00300,chunk_00261</x:v>
      </x:c>
      <x:c r="N39" s="13" t="str">
        <x:v>1차 자동 평가용 답변 초안
질문: 메탄 농도 급상승 시 작업 중인 근로자에게 관리자가 즉시 알려야 할 내용은 무엇인가?
근거 요약: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- 09_광산안전기술기준_제10차개정_2024-12-19.txt | chunk_id chunk_00292 | 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
- 10_광산안전업무_처리지침_2025-35_latest.txt | chunk_id chunk_00344 | 성능검사 등 위탁 업무에 대해 공단 사장에게개선,보완 등의 조치를 할 수 있다. 제3장 광산안전관리직원의 선·해임제8조(광산안전관리직원의 정원)①법 제13조 및 규칙 제18조에 따른 해당 광산안전관리직원의 정원은 다음 각 호와 광산근로자의 수,시설 규모 및 광물생산량을 기준으로 한다.1.광산근로자의 수는 최근 3개월간 재해월보상의 광산근로자 수의 누계를산술평균한 월간 재적 광산근로자의 수로...
현장 조치 기준: 작업 전 위험요인 확인, 작업중지·대피 기준, 보고·기록 절차, 보호구·환기·가스측정 여부 확인</x:v>
      </x:c>
      <x:c r="O39" s="13" t="str">
        <x:v>1차 자동 평가(rule-based)</x:v>
      </x:c>
    </x:row>
    <x:row r="40" ht="58" customHeight="1">
      <x:c r="A40" s="13" t="str">
        <x:v>Q039</x:v>
      </x:c>
      <x:c r="B40" s="13" t="str">
        <x:v>환기/유해가스</x:v>
      </x:c>
      <x:c r="C40" s="13" t="str">
        <x:v>폐쇄 구간에서 산소 농도 저하가 의심될 때 관리자가 우선 확인해야 할 항목은 무엇인가?</x:v>
      </x:c>
      <x:c r="D40" s="15" t="n">
        <x:v>6</x:v>
      </x:c>
      <x:c r="E40" s="15" t="n">
        <x:v>16</x:v>
      </x:c>
      <x:c r="F40" s="15" t="n">
        <x:v>19</x:v>
      </x:c>
      <x:c r="G40" s="15" t="n">
        <x:v>19</x:v>
      </x:c>
      <x:c r="H40" s="15" t="n">
        <x:v>60</x:v>
      </x:c>
      <x:c r="I40" s="16" t="str">
        <x:v>보완 필요</x:v>
      </x:c>
      <x:c r="J40" s="13" t="str">
        <x:v>Y</x:v>
      </x:c>
      <x:c r="K40" s="13" t="str">
        <x:v>총점이 80점 미만; 예상 키워드 매칭 약함; 상위 근거 연관성 약함</x:v>
      </x:c>
      <x:c r="L40" s="13" t="str">
        <x:v>03_산업안전보건법.txt,13_2023_새로운_위험성평가_안내서.txt,11_안전보건관리체계_구축_가이드북.txt,05_산업안전보건법_시행규칙.txt,11_안전보건관리체계_구축_가이드북.txt</x:v>
      </x:c>
      <x:c r="M40" s="13" t="str">
        <x:v>chunk_00069,chunk_00457,chunk_00418,chunk_00231,chunk_00374</x:v>
      </x:c>
      <x:c r="N40" s="13" t="str">
        <x:v>1차 자동 평가용 답변 초안
질문: 폐쇄 구간에서 산소 농도 저하가 의심될 때 관리자가 우선 확인해야 할 항목은 무엇인가?
근거 요약:
- 03_산업안전보건법.txt | chunk_id chunk_00069 |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- 13_2023_새로운_위험성평가_안내서.txt | chunk_id chunk_00457 | 5조 도급인의 안전 및 보건에 관한 정보제공 등 제66조 도급인의 관계수급인에 대한 시정조치 제3절 건설업 등의 산업재해 예방 제67조 기계·기구 등에 대한 건설공사도급인의 안전조치 ◈ 제8장 근로자 보건관리 제1절 근로환경의 개선 제125조 작업환경측정 ※ 다만, 사무직에 종사하는 근로자만 사용하는 사업 등 일부 사업장은 제5장제2절(일부조항은 제외)을 적용하지 않습니다. &lt;시행령 별표 1...
- 11_안전보건관리체계_구축_가이드북.txt | chunk_id chunk_00418 |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현장 조치 기준: 작업 전 위험요인 확인, 작업중지·대피 기준, 보고·기록 절차, 보호구·환기·가스측정 여부 확인</x:v>
      </x:c>
      <x:c r="O40" s="13" t="str">
        <x:v>1차 자동 평가(rule-based)</x:v>
      </x:c>
    </x:row>
    <x:row r="41" ht="58" customHeight="1">
      <x:c r="A41" s="13" t="str">
        <x:v>Q040</x:v>
      </x:c>
      <x:c r="B41" s="13" t="str">
        <x:v>굴진/낙반/지보</x:v>
      </x:c>
      <x:c r="C41" s="13" t="str">
        <x:v>지보재 설치 후 천반 균열이 늘어나고 있다면 작업 재개 전 무엇을 확인해야 하나?</x:v>
      </x:c>
      <x:c r="D41" s="15" t="n">
        <x:v>8</x:v>
      </x:c>
      <x:c r="E41" s="15" t="n">
        <x:v>16</x:v>
      </x:c>
      <x:c r="F41" s="15" t="n">
        <x:v>19</x:v>
      </x:c>
      <x:c r="G41" s="15" t="n">
        <x:v>19</x:v>
      </x:c>
      <x:c r="H41" s="15" t="n">
        <x:v>62</x:v>
      </x:c>
      <x:c r="I41" s="16" t="str">
        <x:v>보완 필요</x:v>
      </x:c>
      <x:c r="J41" s="13" t="str">
        <x:v>Y</x:v>
      </x:c>
      <x:c r="K41" s="13" t="str">
        <x:v>총점이 80점 미만; 예상 키워드 매칭 약함; 상위 근거 연관성 약함</x:v>
      </x:c>
      <x:c r="L41" s="13" t="str">
        <x:v>09_광산안전기술기준_제10차개정_2024-12-19.txt,13_2023_새로운_위험성평가_안내서.txt,03_산업안전보건법.txt,08_광산안전법_시행규칙.txt,07_광산안전법_시행령.txt</x:v>
      </x:c>
      <x:c r="M41" s="13" t="str">
        <x:v>chunk_00333,chunk_00482,chunk_00086,chunk_00287,chunk_00272</x:v>
      </x:c>
      <x:c r="N41" s="13" t="str">
        <x:v>1차 자동 평가용 답변 초안
질문: 지보재 설치 후 천반 균열이 늘어나고 있다면 작업 재개 전 무엇을 확인해야 하나?
근거 요약:
- 09_광산안전기술기준_제10차개정_2024-12-19.txt | chunk_id chunk_00333 |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- 13_2023_새로운_위험성평가_안내서.txt | chunk_id chunk_00482 |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
- 03_산업안전보건법.txt | chunk_id chunk_00086 | 한다. ③ 일반석면조사를 한 건축물ㆍ설비소유주등은 그 결과에 관한 서류를 그 건축물이나 설비에 대한 해체ㆍ제거작업 이 종료될 때까지 보존하여야 하고, 기관석면조사를 한 건축물ㆍ설비소유주등과 석면조사기관은 그 결과에 관한 서 류를 3년 동안 보존하여야 한다. ④ 작업환경측정기관은 작업환경측정에 관한 사항으로서 고용노동부령으로 정하는 사항을 적은 서류를 3년 동안 보존하여야 한다. ⑤ 지도사는...
현장 조치 기준: 작업 전 위험요인 확인, 작업중지·대피 기준, 보고·기록 절차, 보호구·환기·가스측정 여부 확인</x:v>
      </x:c>
      <x:c r="O41" s="13" t="str">
        <x:v>1차 자동 평가(rule-based)</x:v>
      </x:c>
    </x:row>
    <x:row r="42" ht="58" customHeight="1">
      <x:c r="A42" s="13" t="str">
        <x:v>Q041</x:v>
      </x:c>
      <x:c r="B42" s="13" t="str">
        <x:v>굴진/낙반/지보</x:v>
      </x:c>
      <x:c r="C42" s="13" t="str">
        <x:v>굴진 중 천반이 흔들릴 때 관리자가 작업자에게 지시해야 할 조치는 무엇인가?</x:v>
      </x:c>
      <x:c r="D42" s="15" t="n">
        <x:v>13</x:v>
      </x:c>
      <x:c r="E42" s="15" t="n">
        <x:v>20</x:v>
      </x:c>
      <x:c r="F42" s="15" t="n">
        <x:v>19</x:v>
      </x:c>
      <x:c r="G42" s="15" t="n">
        <x:v>19</x:v>
      </x:c>
      <x:c r="H42" s="15" t="n">
        <x:v>71</x:v>
      </x:c>
      <x:c r="I42" s="16" t="str">
        <x:v>보통</x:v>
      </x:c>
      <x:c r="J42" s="13" t="str">
        <x:v>Y</x:v>
      </x:c>
      <x:c r="K42" s="13" t="str">
        <x:v>총점이 80점 미만</x:v>
      </x:c>
      <x:c r="L42" s="13" t="str">
        <x:v>03_산업안전보건법.txt,11_안전보건관리체계_구축_가이드북.txt,11_안전보건관리체계_구축_가이드북.txt,05_산업안전보건법_시행규칙.txt,04_산업안전보건법_시행령.txt</x:v>
      </x:c>
      <x:c r="M42" s="13" t="str">
        <x:v>chunk_00039,chunk_00374,chunk_00363,chunk_00194,chunk_00108</x:v>
      </x:c>
      <x:c r="N42" s="13" t="str">
        <x:v>1차 자동 평가용 답변 초안
질문: 굴진 중 천반이 흔들릴 때 관리자가 작업자에게 지시해야 할 조치는 무엇인가?
근거 요약: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- 11_안전보건관리체계_구축_가이드북.txt | chunk_id chunk_00363 | 4조] ① 사업주 또는 경영책임자등은 사업주나 법인 또는 기관이 실질적으로 지배·운영· 관리하는 사업 또는 사업장에서 종사자의 안전·보건상 유해 또는 위험을 방지 하기 위하여 그 사업 또는 사업장의 특성 및 규모 등을 고려하여 다음 각 호에 따른 조치를 하여야 한다. 1. 재해예방에 필요한 인력 및 예산 등 안전보건관리체계의 구축 및 그 이행에 관한 조치 2~4. 생략 ===== PAGE 8...
현장 조치 기준: 작업 전 위험요인 확인, 작업중지·대피 기준, 보고·기록 절차, 보호구·환기·가스측정 여부 확인</x:v>
      </x:c>
      <x:c r="O42" s="13" t="str">
        <x:v>1차 자동 평가(rule-based)</x:v>
      </x:c>
    </x:row>
    <x:row r="43" ht="58" customHeight="1">
      <x:c r="A43" s="13" t="str">
        <x:v>Q042</x:v>
      </x:c>
      <x:c r="B43" s="13" t="str">
        <x:v>굴진/낙반/지보</x:v>
      </x:c>
      <x:c r="C43" s="13" t="str">
        <x:v>지보공 주변에 부석이 쌓였다면 작업 전 어떤 절차를 거쳐야 하나?</x:v>
      </x:c>
      <x:c r="D43" s="15" t="n">
        <x:v>18</x:v>
      </x:c>
      <x:c r="E43" s="15" t="n">
        <x:v>20</x:v>
      </x:c>
      <x:c r="F43" s="15" t="n">
        <x:v>19</x:v>
      </x:c>
      <x:c r="G43" s="15" t="n">
        <x:v>19</x:v>
      </x:c>
      <x:c r="H43" s="15" t="n">
        <x:v>76</x:v>
      </x:c>
      <x:c r="I43" s="16" t="str">
        <x:v>보통</x:v>
      </x:c>
      <x:c r="J43" s="13" t="str">
        <x:v>Y</x:v>
      </x:c>
      <x:c r="K43" s="13" t="str">
        <x:v>총점이 80점 미만</x:v>
      </x:c>
      <x:c r="L43" s="13" t="str">
        <x:v>11_안전보건관리체계_구축_가이드북.txt,09_광산안전기술기준_제10차개정_2024-12-19.txt,09_광산안전기술기준_제10차개정_2024-12-19.txt,09_광산안전기술기준_제10차개정_2024-12-19.txt,11_안전보건관리체계_구축_가이드북.txt</x:v>
      </x:c>
      <x:c r="M43" s="13" t="str">
        <x:v>chunk_00415,chunk_00302,chunk_00301,chunk_00303,chunk_00380</x:v>
      </x:c>
      <x:c r="N43" s="13" t="str">
        <x:v>1차 자동 평가용 답변 초안
질문: 지보공 주변에 부석이 쌓였다면 작업 전 어떤 절차를 거쳐야 하나?
근거 요약:
- 11_안전보건관리체계_구축_가이드북.txt | chunk_id chunk_00415 | 스 신축공사 현장에서 외벽 마감작업이 진행되었다. 외벽 미장작업을 맡은 A는 강관비계 작업발판 3단에서 발판 상부구간 작업을 완료한 후, 발판 하부구간 작업을 위해 2단으로 이동하던 중 높이 약 5.7m아래의 바닥으로 추락하여 사망했다. 작업발판으로 사용한 강관비계는 틈새가 넓어 추락 위험이 높았으며, 작업발판 간 이동을 위한 통로가 없어 안전난간에 매달려 이동한 것으로 밝혀졌다. 확인결과...
- 09_광산안전기술기준_제10차개정_2024-12-19.txt | chunk_id chunk_00302 |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
- 09_광산안전기술기준_제10차개정_2024-12-19.txt | chunk_id chunk_00301 | 야 한다. 2. 채굴작업전에 낙반 또는 낙석의 우려가 있는 부석은 장비 등을 활용하여 안전한 방법으로 제거하여야 한다. 3. 계단의 최대 높이는 계단 하부의 작업면에서 작업하는 인원의 안전을 위하여 기준안전율을 상회하도록 결정하여야 한다. 4. 사면붕괴·밀림, 낙석 등으로 인해 하부 계단의 재해가 발생하지 않도록 계단의 폭은 충분한 넓이를 유지해야 한다. 5. 높이가 3 m를 초과하는 계단...
현장 조치 기준: 작업 전 위험요인 확인, 작업중지·대피 기준, 보고·기록 절차, 보호구·환기·가스측정 여부 확인</x:v>
      </x:c>
      <x:c r="O43" s="13" t="str">
        <x:v>1차 자동 평가(rule-based)</x:v>
      </x:c>
    </x:row>
    <x:row r="44" ht="58" customHeight="1">
      <x:c r="A44" s="13" t="str">
        <x:v>Q043</x:v>
      </x:c>
      <x:c r="B44" s="13" t="str">
        <x:v>보호구/PPE</x:v>
      </x:c>
      <x:c r="C44" s="13" t="str">
        <x:v>분진이 많이 나는 굴진 구간에서 방진마스크를 제대로 착용하지 않는 작업자에게 관리자가 어떻게 대응해야 하나?</x:v>
      </x:c>
      <x:c r="D44" s="15" t="n">
        <x:v>6</x:v>
      </x:c>
      <x:c r="E44" s="15" t="n">
        <x:v>16</x:v>
      </x:c>
      <x:c r="F44" s="15" t="n">
        <x:v>19</x:v>
      </x:c>
      <x:c r="G44" s="15" t="n">
        <x:v>19</x:v>
      </x:c>
      <x:c r="H44" s="15" t="n">
        <x:v>60</x:v>
      </x:c>
      <x:c r="I44" s="16" t="str">
        <x:v>보완 필요</x:v>
      </x:c>
      <x:c r="J44" s="13" t="str">
        <x:v>Y</x:v>
      </x:c>
      <x:c r="K44" s="13" t="str">
        <x:v>총점이 80점 미만; 예상 키워드 매칭 약함; 상위 근거 연관성 약함</x:v>
      </x:c>
      <x:c r="L44" s="13" t="str">
        <x:v>05_산업안전보건법_시행규칙.txt,13_2023_새로운_위험성평가_안내서.txt,11_안전보건관리체계_구축_가이드북.txt,11_안전보건관리체계_구축_가이드북.txt,11_안전보건관리체계_구축_가이드북.txt</x:v>
      </x:c>
      <x:c r="M44" s="13" t="str">
        <x:v>chunk_00231,chunk_00486,chunk_00385,chunk_00396,chunk_00418</x:v>
      </x:c>
      <x:c r="N44" s="13" t="str">
        <x:v>1차 자동 평가용 답변 초안
질문: 분진이 많이 나는 굴진 구간에서 방진마스크를 제대로 착용하지 않는 작업자에게 관리자가 어떻게 대응해야 하나?
근거 요약:
- 05_산업안전보건법_시행규칙.txt | chunk_id chunk_00231 |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- 11_안전보건관리체계_구축_가이드북.txt | chunk_id chunk_00385 |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현장 조치 기준: 작업 전 위험요인 확인, 작업중지·대피 기준, 보고·기록 절차, 보호구·환기·가스측정 여부 확인</x:v>
      </x:c>
      <x:c r="O44" s="13" t="str">
        <x:v>1차 자동 평가(rule-based)</x:v>
      </x:c>
    </x:row>
    <x:row r="45" ht="58" customHeight="1">
      <x:c r="A45" s="13" t="str">
        <x:v>Q044</x:v>
      </x:c>
      <x:c r="B45" s="13" t="str">
        <x:v>보호구/PPE</x:v>
      </x:c>
      <x:c r="C45" s="13" t="str">
        <x:v>분진 발생 구간에서 작업 중 보호구 상태가 바뀌었을 때 관리자가 확인해야 할 것은 무엇인가?</x:v>
      </x:c>
      <x:c r="D45" s="15" t="n">
        <x:v>12</x:v>
      </x:c>
      <x:c r="E45" s="15" t="n">
        <x:v>16</x:v>
      </x:c>
      <x:c r="F45" s="15" t="n">
        <x:v>19</x:v>
      </x:c>
      <x:c r="G45" s="15" t="n">
        <x:v>19</x:v>
      </x:c>
      <x:c r="H45" s="15" t="n">
        <x:v>66</x:v>
      </x:c>
      <x:c r="I45" s="16" t="str">
        <x:v>보완 필요</x:v>
      </x:c>
      <x:c r="J45" s="13" t="str">
        <x:v>Y</x:v>
      </x:c>
      <x:c r="K45" s="13" t="str">
        <x:v>총점이 80점 미만; 예상 키워드 매칭 약함</x:v>
      </x:c>
      <x:c r="L45" s="13" t="str">
        <x:v>11_안전보건관리체계_구축_가이드북.txt,04_산업안전보건법_시행령.txt,13_2023_새로운_위험성평가_안내서.txt,03_산업안전보건법.txt,05_산업안전보건법_시행규칙.txt</x:v>
      </x:c>
      <x:c r="M45" s="13" t="str">
        <x:v>chunk_00396,chunk_00124,chunk_00486,chunk_00048,chunk_00231</x:v>
      </x:c>
      <x:c r="N45" s="13" t="str">
        <x:v>1차 자동 평가용 답변 초안
질문: 분진 발생 구간에서 작업 중 보호구 상태가 바뀌었을 때 관리자가 확인해야 할 것은 무엇인가?
근거 요약:
- 11_안전보건관리체계_구축_가이드북.txt | chunk_id chunk_00396 |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
- 04_산업안전보건법_시행령.txt | chunk_id chunk_00124 |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현장 조치 기준: 작업 전 위험요인 확인, 작업중지·대피 기준, 보고·기록 절차, 보호구·환기·가스측정 여부 확인</x:v>
      </x:c>
      <x:c r="O45" s="13" t="str">
        <x:v>1차 자동 평가(rule-based)</x:v>
      </x:c>
    </x:row>
    <x:row r="46" ht="58" customHeight="1">
      <x:c r="A46" s="13" t="str">
        <x:v>Q045</x:v>
      </x:c>
      <x:c r="B46" s="13" t="str">
        <x:v>보호구/PPE</x:v>
      </x:c>
      <x:c r="C46" s="13" t="str">
        <x:v>작업 시작 전 보호구 지급 현황을 확인할 때 관리자가 반드시 체크해야 할 항목은 무엇인가?</x:v>
      </x:c>
      <x:c r="D46" s="15" t="n">
        <x:v>8</x:v>
      </x:c>
      <x:c r="E46" s="15" t="n">
        <x:v>16</x:v>
      </x:c>
      <x:c r="F46" s="15" t="n">
        <x:v>19</x:v>
      </x:c>
      <x:c r="G46" s="15" t="n">
        <x:v>19</x:v>
      </x:c>
      <x:c r="H46" s="15" t="n">
        <x:v>62</x:v>
      </x:c>
      <x:c r="I46" s="16" t="str">
        <x:v>보완 필요</x:v>
      </x:c>
      <x:c r="J46" s="13" t="str">
        <x:v>Y</x:v>
      </x:c>
      <x:c r="K46" s="13" t="str">
        <x:v>총점이 80점 미만; 예상 키워드 매칭 약함; 상위 근거 연관성 약함</x:v>
      </x:c>
      <x:c r="L46" s="13" t="str">
        <x:v>05_산업안전보건법_시행규칙.txt,03_산업안전보건법.txt,03_산업안전보건법.txt,03_산업안전보건법.txt,03_산업안전보건법.txt</x:v>
      </x:c>
      <x:c r="M46" s="13" t="str">
        <x:v>chunk_00159,chunk_00056,chunk_00031,chunk_00047,chunk_00070</x:v>
      </x:c>
      <x:c r="N46" s="13" t="str">
        <x:v>1차 자동 평가용 답변 초안
질문: 작업 시작 전 보호구 지급 현황을 확인할 때 관리자가 반드시 체크해야 할 항목은 무엇인가?
근거 요약:
- 05_산업안전보건법_시행규칙.txt | chunk_id chunk_00159 | 는 보건관리 상태를 정기적으로 점검해야 하며, 점검 결과 법령위반사항을 발견한 경우에는 그 위반사항과 구체적인 개선 대책을 해당 사업주에게 지체 없이 통보 해야 한다. ② 안전관리전문기관 또는 보건관리전문기관은 고용노동부장관이 정하는 바에 따라 매월 안전관리ㆍ보건관리 상 태에 관한 보고서를 작성하여 다음 달 10일까지 고용노동부장관이 정하는 전산시스템에 등록하고 사업주에게 제출 해야 한다....
- 03_산업안전보건법.txt | chunk_id chunk_00056 | 지정받으려는 자는 대통령령으로 정하는 인력ㆍ시설 및 장비 등의 요건을 갖추 어 고용노동부장관에게 신청하여야 한다. ③ 고용노동부장관은 제1항에 따라 지정받은 안전검사기관(이하 “안전검사기관”이라 한다)에 대하여 평가하고 그 결과를 공개할 수 있다. 이 경우 평가의 기준ㆍ방법 및 결과의 공개에 필요한 사항은 고용노동부령으로 정한다. ④ 안전검사기관의 지정 신청 절차, 그 밖에 필요한 사항은 고...
- 03_산업안전보건법.txt | chunk_id chunk_00031 | 정하는 인력 ㆍ시설 및 장비 등의 요건을 갖추어 고용노동부장관에게 등록하여야 한다. 등록한 사항 중 대통령령으로 정하는 중 요한 사항을 변경할 때에도 또한 같다. ② 고용노동부장관은 제1항에 따라 등록한 자(이하 “안전보건교육기관”이라 한다)에 대하여 평가하고 그 결과를 공 개할 수 있다. 이 경우 평가의 기준ㆍ방법 및 결과의 공개에 필요한 사항은 고용노동부령으로 정한다. ③ 제1항에 따른...
현장 조치 기준: 작업 전 위험요인 확인, 작업중지·대피 기준, 보고·기록 절차, 보호구·환기·가스측정 여부 확인</x:v>
      </x:c>
      <x:c r="O46" s="13" t="str">
        <x:v>1차 자동 평가(rule-based)</x:v>
      </x:c>
    </x:row>
    <x:row r="47" ht="58" customHeight="1">
      <x:c r="A47" s="13" t="str">
        <x:v>Q046</x:v>
      </x:c>
      <x:c r="B47" s="13" t="str">
        <x:v>보호구/PPE</x:v>
      </x:c>
      <x:c r="C47" s="13" t="str">
        <x:v>갱내 작업 중 안전모가 파손된 경우 관리자가 어떻게 조치해야 하나?</x:v>
      </x:c>
      <x:c r="D47" s="15" t="n">
        <x:v>13</x:v>
      </x:c>
      <x:c r="E47" s="15" t="n">
        <x:v>16</x:v>
      </x:c>
      <x:c r="F47" s="15" t="n">
        <x:v>19</x:v>
      </x:c>
      <x:c r="G47" s="15" t="n">
        <x:v>19</x:v>
      </x:c>
      <x:c r="H47" s="15" t="n">
        <x:v>67</x:v>
      </x:c>
      <x:c r="I47" s="16" t="str">
        <x:v>보완 필요</x:v>
      </x:c>
      <x:c r="J47" s="13" t="str">
        <x:v>Y</x:v>
      </x:c>
      <x:c r="K47" s="13" t="str">
        <x:v>총점이 80점 미만; 예상 키워드 매칭 약함</x:v>
      </x:c>
      <x:c r="L47" s="13" t="str">
        <x:v>11_안전보건관리체계_구축_가이드북.txt,11_안전보건관리체계_구축_가이드북.txt,11_안전보건관리체계_구축_가이드북.txt,08_광산안전법_시행규칙.txt,11_안전보건관리체계_구축_가이드북.txt</x:v>
      </x:c>
      <x:c r="M47" s="13" t="str">
        <x:v>chunk_00418,chunk_00374,chunk_00396,chunk_00284,chunk_00363</x:v>
      </x:c>
      <x:c r="N47" s="13" t="str">
        <x:v>1차 자동 평가용 답변 초안
질문: 갱내 작업 중 안전모가 파손된 경우 관리자가 어떻게 조치해야 하나?
근거 요약:
- 11_안전보건관리체계_구축_가이드북.txt | chunk_id chunk_00418 |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- 11_안전보건관리체계_구축_가이드북.txt | chunk_id chunk_00396 |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
현장 조치 기준: 작업 전 위험요인 확인, 작업중지·대피 기준, 보고·기록 절차, 보호구·환기·가스측정 여부 확인</x:v>
      </x:c>
      <x:c r="O47" s="13" t="str">
        <x:v>1차 자동 평가(rule-based)</x:v>
      </x:c>
    </x:row>
    <x:row r="48" ht="58" customHeight="1">
      <x:c r="A48" s="13" t="str">
        <x:v>Q047</x:v>
      </x:c>
      <x:c r="B48" s="13" t="str">
        <x:v>TBM(툴박스 미팅)</x:v>
      </x:c>
      <x:c r="C48" s="13" t="str">
        <x:v>작업 시작 전에 작업자와 안전담당자 사이에 어떤 위험 정보가 공유되어야 하나?</x:v>
      </x:c>
      <x:c r="D48" s="15" t="n">
        <x:v>6</x:v>
      </x:c>
      <x:c r="E48" s="15" t="n">
        <x:v>16</x:v>
      </x:c>
      <x:c r="F48" s="15" t="n">
        <x:v>19</x:v>
      </x:c>
      <x:c r="G48" s="15" t="n">
        <x:v>19</x:v>
      </x:c>
      <x:c r="H48" s="15" t="n">
        <x:v>60</x:v>
      </x:c>
      <x:c r="I48" s="16" t="str">
        <x:v>보완 필요</x:v>
      </x:c>
      <x:c r="J48" s="13" t="str">
        <x:v>Y</x:v>
      </x:c>
      <x:c r="K48" s="13" t="str">
        <x:v>총점이 80점 미만; 예상 키워드 매칭 약함; 상위 근거 연관성 약함</x:v>
      </x:c>
      <x:c r="L48" s="13" t="str">
        <x:v>13_2023_새로운_위험성평가_안내서.txt,13_2023_새로운_위험성평가_안내서.txt,11_안전보건관리체계_구축_가이드북.txt,13_2023_새로운_위험성평가_안내서.txt,13_2023_새로운_위험성평가_안내서.txt</x:v>
      </x:c>
      <x:c r="M48" s="13" t="str">
        <x:v>chunk_00454,chunk_00486,chunk_00374,chunk_00472,chunk_00441</x:v>
      </x:c>
      <x:c r="N48" s="13" t="str">
        <x:v>1차 자동 평가용 답변 초안
질문: 작업 시작 전에 작업자와 안전담당자 사이에 어떤 위험 정보가 공유되어야 하나?
근거 요약:
- 13_2023_새로운_위험성평가_안내서.txt | chunk_id chunk_00454 | 든 근로자가 알아야 합니다. 기존 위험성평가 결과 모두 제거되지 않고 남은 위험이 있는 경우에만 근로자에게 알리도록 되어 있었습니다. 개선 위험성평가 결과의 전반을 근로자와 공유하고, 무엇보다 중요한 유해·위험요인은 작업 전 안전점검회의(TBM)를 통해 상시적으로 근로자들에게 알리도록 합니다. 6. 이 밖에도 ‘아차사고’를 일으킨 유해·위험요인은 위험성평가를 실시하여야 합니다. * [아차사고...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현장 조치 기준: 작업 전 위험요인 확인, 작업중지·대피 기준, 보고·기록 절차, 보호구·환기·가스측정 여부 확인</x:v>
      </x:c>
      <x:c r="O48" s="13" t="str">
        <x:v>1차 자동 평가(rule-based)</x:v>
      </x:c>
    </x:row>
    <x:row r="49" ht="58" customHeight="1">
      <x:c r="A49" s="13" t="str">
        <x:v>Q048</x:v>
      </x:c>
      <x:c r="B49" s="13" t="str">
        <x:v>환기/유해가스</x:v>
      </x:c>
      <x:c r="C49" s="13" t="str">
        <x:v>유해가스 측정 결과가 기준 이하라도 작업 중 상태 변화를 어떻게 확인해야 하나?</x:v>
      </x:c>
      <x:c r="D49" s="15" t="n">
        <x:v>15</x:v>
      </x:c>
      <x:c r="E49" s="15" t="n">
        <x:v>16</x:v>
      </x:c>
      <x:c r="F49" s="15" t="n">
        <x:v>19</x:v>
      </x:c>
      <x:c r="G49" s="15" t="n">
        <x:v>19</x:v>
      </x:c>
      <x:c r="H49" s="15" t="n">
        <x:v>69</x:v>
      </x:c>
      <x:c r="I49" s="16" t="str">
        <x:v>보완 필요</x:v>
      </x:c>
      <x:c r="J49" s="13" t="str">
        <x:v>Y</x:v>
      </x:c>
      <x:c r="K49" s="13" t="str">
        <x:v>총점이 80점 미만; 예상 키워드 매칭 약함</x:v>
      </x:c>
      <x:c r="L49" s="13" t="str">
        <x:v>10_광산안전업무_처리지침_2025-35_latest.txt,05_산업안전보건법_시행규칙.txt,05_산업안전보건법_시행규칙.txt,05_산업안전보건법_시행규칙.txt,09_광산안전기술기준_제10차개정_2024-12-19.txt</x:v>
      </x:c>
      <x:c r="M49" s="13" t="str">
        <x:v>chunk_00350,chunk_00231,chunk_00233,chunk_00232,chunk_00297</x:v>
      </x:c>
      <x:c r="N49" s="13" t="str">
        <x:v>1차 자동 평가용 답변 초안
질문: 유해가스 측정 결과가 기준 이하라도 작업 중 상태 변화를 어떻게 확인해야 하나?
근거 요약:
- 10_광산안전업무_처리지침_2025-35_latest.txt | chunk_id chunk_00350 |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
- 05_산업안전보건법_시행규칙.txt | chunk_id chunk_00231 |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- 05_산업안전보건법_시행규칙.txt | chunk_id chunk_00233 | 용노동부장관이 정하여 고 시하는 물질을 취급하는 작업공정은 그렇지 않다. 1. 작업공정 내 소음의 작업환경측정 결과가 최근 2회 연속 85데시벨(dB) 미만인 경우 2. 작업공정 내 소음 외의 다른 모든 인자의 작업환경측정 결과가 최근 2회 연속 노출기준 미만인 경우 제191조(작업환경측정기관의 평가 등) ① 공단이 법 제126조제3항에 따라 작업환경측정기관을 평가하는 기준은 다음 각 호와...
현장 조치 기준: 작업 전 위험요인 확인, 작업중지·대피 기준, 보고·기록 절차, 보호구·환기·가스측정 여부 확인</x:v>
      </x:c>
      <x:c r="O49" s="13" t="str">
        <x:v>1차 자동 평가(rule-based)</x:v>
      </x:c>
    </x:row>
    <x:row r="50" ht="58" customHeight="1">
      <x:c r="A50" s="13" t="str">
        <x:v>Q049</x:v>
      </x:c>
      <x:c r="B50" s="13" t="str">
        <x:v>굴진/낙반/지보</x:v>
      </x:c>
      <x:c r="C50" s="13" t="str">
        <x:v>지보공 설치가 늦어질 때 작업 재개 전 무엇을 우선 확인해야 하나?</x:v>
      </x:c>
      <x:c r="D50" s="15" t="n">
        <x:v>18</x:v>
      </x:c>
      <x:c r="E50" s="15" t="n">
        <x:v>16</x:v>
      </x:c>
      <x:c r="F50" s="15" t="n">
        <x:v>19</x:v>
      </x:c>
      <x:c r="G50" s="15" t="n">
        <x:v>19</x:v>
      </x:c>
      <x:c r="H50" s="15" t="n">
        <x:v>72</x:v>
      </x:c>
      <x:c r="I50" s="16" t="str">
        <x:v>보통</x:v>
      </x:c>
      <x:c r="J50" s="13" t="str">
        <x:v>Y</x:v>
      </x:c>
      <x:c r="K50" s="13" t="str">
        <x:v>총점이 80점 미만; 예상 키워드 매칭 약함</x:v>
      </x:c>
      <x:c r="L50" s="13" t="str">
        <x:v>13_2023_새로운_위험성평가_안내서.txt,13_2023_새로운_위험성평가_안내서.txt,07_광산안전법_시행령.txt,11_안전보건관리체계_구축_가이드북.txt,09_광산안전기술기준_제10차개정_2024-12-19.txt</x:v>
      </x:c>
      <x:c r="M50" s="13" t="str">
        <x:v>chunk_00435,chunk_00480,chunk_00272,chunk_00396,chunk_00323</x:v>
      </x:c>
      <x:c r="N50" s="13" t="str">
        <x:v>1차 자동 평가용 답변 초안
질문: 지보공 설치가 늦어질 때 작업 재개 전 무엇을 우선 확인해야 하나?
근거 요약:
- 13_2023_새로운_위험성평가_안내서.txt | chunk_id chunk_00435 | 파악한 유해 · 위험요인별로 위험성 수준을 결정하고, 「산업안전 보건법」 등에서 정한 것 이상으로 위험성 감소대책 및 이행계획을 마련한다. 주(週) 매주 □요일 • 현장소장 • 평가담당자 • 공사담당자 • 협력업체소장 원·하청 합동 안전점검회의 (주 단위 공정회의 병행) • 향후 1주간 공정 · 작업별 핵심 유해 · 위험요인과 근로자들의 주의 · 준수사항에 대해 공유한다. • 지난 1주간 유...
- 13_2023_새로운_위험성평가_안내서.txt | chunk_id chunk_00480 | 험성평가의 실시 시기 관련 규정 제  15조(위험성평가의 실시 시기) ① 사업주는 사업이 성립된 날(사업 개시일을 말하며, 건설업의 경우 실착공일을 말한다)로부터 1개월이 되는 날까지 제5조의2제1항에 따라 위험성 평가의 대상이 되는 유해·위험요인에 대한 최초 위험성평가의 실시에 착수하여야 한다. 다만, 1개월 미만의 기간 동안 이루어지는 작업 또는 공사의 경우에는 특별한 사정이 없는 한 작...
- 07_광산안전법_시행령.txt | chunk_id chunk_00272 |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
현장 조치 기준: 작업 전 위험요인 확인, 작업중지·대피 기준, 보고·기록 절차, 보호구·환기·가스측정 여부 확인</x:v>
      </x:c>
      <x:c r="O50" s="13" t="str">
        <x:v>1차 자동 평가(rule-based)</x:v>
      </x:c>
    </x:row>
    <x:row r="51" ht="58" customHeight="1">
      <x:c r="A51" s="13" t="str">
        <x:v>Q050</x:v>
      </x:c>
      <x:c r="B51" s="13" t="str">
        <x:v>보호구/PPE</x:v>
      </x:c>
      <x:c r="C51" s="13" t="str">
        <x:v>분진이 많은 구간에서는 작업 전 어떤 환경 관리를 우선해야 하나?</x:v>
      </x:c>
      <x:c r="D51" s="15" t="n">
        <x:v>12</x:v>
      </x:c>
      <x:c r="E51" s="15" t="n">
        <x:v>16</x:v>
      </x:c>
      <x:c r="F51" s="15" t="n">
        <x:v>19</x:v>
      </x:c>
      <x:c r="G51" s="15" t="n">
        <x:v>19</x:v>
      </x:c>
      <x:c r="H51" s="15" t="n">
        <x:v>66</x:v>
      </x:c>
      <x:c r="I51" s="16" t="str">
        <x:v>보완 필요</x:v>
      </x:c>
      <x:c r="J51" s="13" t="str">
        <x:v>Y</x:v>
      </x:c>
      <x:c r="K51" s="13" t="str">
        <x:v>총점이 80점 미만; 예상 키워드 매칭 약함</x:v>
      </x:c>
      <x:c r="L51" s="13" t="str">
        <x:v>02_중대재해처벌법_시행령.txt,09_광산안전기술기준_제10차개정_2024-12-19.txt,11_안전보건관리체계_구축_가이드북.txt,09_광산안전기술기준_제10차개정_2024-12-19.txt,11_안전보건관리체계_구축_가이드북.txt</x:v>
      </x:c>
      <x:c r="M51" s="13" t="str">
        <x:v>chunk_00013,chunk_00333,chunk_00384,chunk_00334,chunk_00398</x:v>
      </x:c>
      <x:c r="N51" s="13" t="str">
        <x:v>1차 자동 평가용 답변 초안
질문: 분진이 많은 구간에서는 작업 전 어떤 환경 관리를 우선해야 하나?
근거 요약:
- 02_중대재해처벌법_시행령.txt | chunk_id chunk_00013 |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- 09_광산안전기술기준_제10차개정_2024-12-19.txt | chunk_id chunk_00333 |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- 11_안전보건관리체계_구축_가이드북.txt | chunk_id chunk_00384 |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
현장 조치 기준: 작업 전 위험요인 확인, 작업중지·대피 기준, 보고·기록 절차, 보호구·환기·가스측정 여부 확인</x:v>
      </x:c>
      <x:c r="O51" s="13" t="str">
        <x:v>1차 자동 평가(rule-based)</x:v>
      </x:c>
    </x:row>
    <x:row r="52" ht="58" customHeight="1">
      <x:c r="A52" s="13" t="str">
        <x:v>Q051</x:v>
      </x:c>
      <x:c r="B52" s="13" t="str">
        <x:v>TBM(툴박스 미팅)</x:v>
      </x:c>
      <x:c r="C52" s="13" t="str">
        <x:v>TBM 작업 전 작업자에게 작업중지 기준을 어떻게 알려야 하나?</x:v>
      </x:c>
      <x:c r="D52" s="15" t="n">
        <x:v>18</x:v>
      </x:c>
      <x:c r="E52" s="15" t="n">
        <x:v>20</x:v>
      </x:c>
      <x:c r="F52" s="15" t="n">
        <x:v>19</x:v>
      </x:c>
      <x:c r="G52" s="15" t="n">
        <x:v>19</x:v>
      </x:c>
      <x:c r="H52" s="15" t="n">
        <x:v>76</x:v>
      </x:c>
      <x:c r="I52" s="16" t="str">
        <x:v>보통</x:v>
      </x:c>
      <x:c r="J52" s="13" t="str">
        <x:v>Y</x:v>
      </x:c>
      <x:c r="K52" s="13" t="str">
        <x:v>총점이 80점 미만</x:v>
      </x:c>
      <x:c r="L52" s="13" t="str">
        <x:v>13_2023_새로운_위험성평가_안내서.txt,11_안전보건관리체계_구축_가이드북.txt,05_산업안전보건법_시행규칙.txt,13_2023_새로운_위험성평가_안내서.txt,05_산업안전보건법_시행규칙.txt</x:v>
      </x:c>
      <x:c r="M52" s="13" t="str">
        <x:v>chunk_00454,chunk_00416,chunk_00232,chunk_00486,chunk_00235</x:v>
      </x:c>
      <x:c r="N52" s="13" t="str">
        <x:v>1차 자동 평가용 답변 초안
질문: TBM 작업 전 작업자에게 작업중지 기준을 어떻게 알려야 하나?
근거 요약:
- 13_2023_새로운_위험성평가_안내서.txt | chunk_id chunk_00454 | 든 근로자가 알아야 합니다. 기존 위험성평가 결과 모두 제거되지 않고 남은 위험이 있는 경우에만 근로자에게 알리도록 되어 있었습니다. 개선 위험성평가 결과의 전반을 근로자와 공유하고, 무엇보다 중요한 유해·위험요인은 작업 전 안전점검회의(TBM)를 통해 상시적으로 근로자들에게 알리도록 합니다. 6. 이 밖에도 ‘아차사고’를 일으킨 유해·위험요인은 위험성평가를 실시하여야 합니다. * [아차사고...
- 11_안전보건관리체계_구축_가이드북.txt | chunk_id chunk_00416 | 등 개인보호구 미사용 ➍ 작업지휘자 부재 재해예방 대책 ➊ 안전한 달비계 사용 ➋ 기본 안전수칙에 대한 정기적인 교육 실시 ➌ 작업 전 안전미팅 활동(TBM) 실시 ➍ 작업 전 관리감독자가 기본 안전수칙 준수 여부 확인 로프 고정 2개 이상의 지지점에 견고히 고정합니다. 로프 점검 고정점과 로프의 안전성을 점검합니다. 구명줄 설치 별도의 고정점과 연결된 구명줄을 설치합니다. 개인보호구 안전대...
- 05_산업안전보건법_시행규칙.txt | chunk_id chunk_00232 |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현장 조치 기준: 작업 전 위험요인 확인, 작업중지·대피 기준, 보고·기록 절차, 보호구·환기·가스측정 여부 확인</x:v>
      </x:c>
      <x:c r="O52" s="13" t="str">
        <x:v>1차 자동 평가(rule-based)</x:v>
      </x:c>
    </x:row>
    <x:row r="53" ht="58" customHeight="1">
      <x:c r="A53" s="13" t="str">
        <x:v>Q052</x:v>
      </x:c>
      <x:c r="B53" s="13" t="str">
        <x:v>발파/불발</x:v>
      </x:c>
      <x:c r="C53" s="13" t="str">
        <x:v>발파 구역 주변에 작업자가 남아 있으면 관리자가 어떤 조치를 해야 하나?</x:v>
      </x:c>
      <x:c r="D53" s="15" t="n">
        <x:v>6</x:v>
      </x:c>
      <x:c r="E53" s="15" t="n">
        <x:v>16</x:v>
      </x:c>
      <x:c r="F53" s="15" t="n">
        <x:v>19</x:v>
      </x:c>
      <x:c r="G53" s="15" t="n">
        <x:v>19</x:v>
      </x:c>
      <x:c r="H53" s="15" t="n">
        <x:v>60</x:v>
      </x:c>
      <x:c r="I53" s="16" t="str">
        <x:v>보완 필요</x:v>
      </x:c>
      <x:c r="J53" s="13" t="str">
        <x:v>Y</x:v>
      </x:c>
      <x:c r="K53" s="13" t="str">
        <x:v>총점이 80점 미만; 예상 키워드 매칭 약함; 상위 근거 연관성 약함</x:v>
      </x:c>
      <x:c r="L53" s="13" t="str">
        <x:v>04_산업안전보건법_시행령.txt,03_산업안전보건법.txt,04_산업안전보건법_시행령.txt,05_산업안전보건법_시행규칙.txt,03_산업안전보건법.txt</x:v>
      </x:c>
      <x:c r="M53" s="13" t="str">
        <x:v>chunk_00107,chunk_00047,chunk_00125,chunk_00202,chunk_00039</x:v>
      </x:c>
      <x:c r="N53" s="13" t="str">
        <x:v>1차 자동 평가용 답변 초안
질문: 발파 구역 주변에 작업자가 남아 있으면 관리자가 어떤 조치를 해야 하나?
근거 요약: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- 04_산업안전보건법_시행령.txt | chunk_id chunk_00125 | 구역 내에서 같은 사 업주가 시공하는 셋 이하의 공사에 대하여 공동으로 안전관리자의 자격을 가진 사람 1명을 선임한 경우를 포함한 다)하여 제18조제1항 각 호에 따른 안전관리자의 업무만을 전담하도록 하는 공사 4. 법 제42조제1항에 따라 유해위험방지계획서를 제출해야 하는 공사 ② 제1항에 따른 건설공사의 건설공사발주자 또는 건설공사도급인(건설공사도급인은 건설공사발주자로부터 건설 공사를 최...
현장 조치 기준: 작업 전 위험요인 확인, 작업중지·대피 기준, 보고·기록 절차, 보호구·환기·가스측정 여부 확인</x:v>
      </x:c>
      <x:c r="O53" s="13" t="str">
        <x:v>1차 자동 평가(rule-based)</x:v>
      </x:c>
    </x:row>
    <x:row r="54" ht="58" customHeight="1">
      <x:c r="A54" s="13" t="str">
        <x:v>Q053</x:v>
      </x:c>
      <x:c r="B54" s="13" t="str">
        <x:v>환기/유해가스</x:v>
      </x:c>
      <x:c r="C54" s="13" t="str">
        <x:v>환기 장치 고장 시 작업자에게 무엇을 먼저 안내해야 하나?</x:v>
      </x:c>
      <x:c r="D54" s="15" t="n">
        <x:v>15</x:v>
      </x:c>
      <x:c r="E54" s="15" t="n">
        <x:v>20</x:v>
      </x:c>
      <x:c r="F54" s="15" t="n">
        <x:v>19</x:v>
      </x:c>
      <x:c r="G54" s="15" t="n">
        <x:v>19</x:v>
      </x:c>
      <x:c r="H54" s="15" t="n">
        <x:v>73</x:v>
      </x:c>
      <x:c r="I54" s="16" t="str">
        <x:v>보통</x:v>
      </x:c>
      <x:c r="J54" s="13" t="str">
        <x:v>Y</x:v>
      </x:c>
      <x:c r="K54" s="13" t="str">
        <x:v>총점이 80점 미만</x:v>
      </x:c>
      <x:c r="L54" s="13" t="str">
        <x:v>09_광산안전기술기준_제10차개정_2024-12-19.txt,09_광산안전기술기준_제10차개정_2024-12-19.txt,03_산업안전보건법.txt,05_산업안전보건법_시행규칙.txt,09_광산안전기술기준_제10차개정_2024-12-19.txt</x:v>
      </x:c>
      <x:c r="M54" s="13" t="str">
        <x:v>chunk_00306,chunk_00299,chunk_00069,chunk_00195,chunk_00303</x:v>
      </x:c>
      <x:c r="N54" s="13" t="str">
        <x:v>1차 자동 평가용 답변 초안
질문: 환기 장치 고장 시 작업자에게 무엇을 먼저 안내해야 하나?
근거 요약:
- 09_광산안전기술기준_제10차개정_2024-12-19.txt | chunk_id chunk_00306 |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
- 09_광산안전기술기준_제10차개정_2024-12-19.txt | chunk_id chunk_00299 |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
- 03_산업안전보건법.txt | chunk_id chunk_00069 |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현장 조치 기준: 작업 전 위험요인 확인, 작업중지·대피 기준, 보고·기록 절차, 보호구·환기·가스측정 여부 확인</x:v>
      </x:c>
      <x:c r="O54" s="13" t="str">
        <x:v>1차 자동 평가(rule-based)</x:v>
      </x:c>
    </x:row>
    <x:row r="55" ht="58" customHeight="1">
      <x:c r="A55" s="13" t="str">
        <x:v>Q054</x:v>
      </x:c>
      <x:c r="B55" s="13" t="str">
        <x:v>굴진/낙반/지보</x:v>
      </x:c>
      <x:c r="C55" s="13" t="str">
        <x:v>작업 중 천반이 내려앉을 위험이 있을 때 어떤 즉시 조치가 필요한가?</x:v>
      </x:c>
      <x:c r="D55" s="15" t="n">
        <x:v>13</x:v>
      </x:c>
      <x:c r="E55" s="15" t="n">
        <x:v>20</x:v>
      </x:c>
      <x:c r="F55" s="15" t="n">
        <x:v>19</x:v>
      </x:c>
      <x:c r="G55" s="15" t="n">
        <x:v>19</x:v>
      </x:c>
      <x:c r="H55" s="15" t="n">
        <x:v>71</x:v>
      </x:c>
      <x:c r="I55" s="16" t="str">
        <x:v>보통</x:v>
      </x:c>
      <x:c r="J55" s="13" t="str">
        <x:v>Y</x:v>
      </x:c>
      <x:c r="K55" s="13" t="str">
        <x:v>총점이 80점 미만</x:v>
      </x:c>
      <x:c r="L55" s="13" t="str">
        <x:v>11_안전보건관리체계_구축_가이드북.txt,09_광산안전기술기준_제10차개정_2024-12-19.txt,13_2023_새로운_위험성평가_안내서.txt,13_2023_새로운_위험성평가_안내서.txt,03_산업안전보건법.txt</x:v>
      </x:c>
      <x:c r="M55" s="13" t="str">
        <x:v>chunk_00398,chunk_00301,chunk_00458,chunk_00475,chunk_00033</x:v>
      </x:c>
      <x:c r="N55" s="13" t="str">
        <x:v>1차 자동 평가용 답변 초안
질문: 작업 중 천반이 내려앉을 위험이 있을 때 어떤 즉시 조치가 필요한가?
근거 요약:
- 11_안전보건관리체계_구축_가이드북.txt | chunk_id chunk_00398 |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
- 09_광산안전기술기준_제10차개정_2024-12-19.txt | chunk_id chunk_00301 | 야 한다. 2. 채굴작업전에 낙반 또는 낙석의 우려가 있는 부석은 장비 등을 활용하여 안전한 방법으로 제거하여야 한다. 3. 계단의 최대 높이는 계단 하부의 작업면에서 작업하는 인원의 안전을 위하여 기준안전율을 상회하도록 결정하여야 한다. 4. 사면붕괴·밀림, 낙석 등으로 인해 하부 계단의 재해가 발생하지 않도록 계단의 폭은 충분한 넓이를 유지해야 한다. 5. 높이가 3 m를 초과하는 계단...
- 13_2023_새로운_위험성평가_안내서.txt | chunk_id chunk_00458 | 것이 합리적으로 예견 가능한 모든 유해·위험요인”이 됩니다. ● 이 때 “업무 중”이란 매일 같은 장소에서 반복하는 작업 외에도 임시·수시로 하는 작업을 포함합니다. 오히려 비정형·임시·수시 작업의 경우 근로자들이 익숙하지 못한 상황에서 사고를 당하기 쉽기 때문입니다. ● 또한 “근로자”는 해당 작업을 수행하는 근로자 뿐만 아니라 유해·위험요인 주변에서 작업하여 영향을 받을 수 있는 모든 근...
현장 조치 기준: 작업 전 위험요인 확인, 작업중지·대피 기준, 보고·기록 절차, 보호구·환기·가스측정 여부 확인</x:v>
      </x:c>
      <x:c r="O55" s="13" t="str">
        <x:v>1차 자동 평가(rule-based)</x:v>
      </x:c>
    </x:row>
    <x:row r="56" ht="58" customHeight="1">
      <x:c r="A56" s="13" t="str">
        <x:v>Q055</x:v>
      </x:c>
      <x:c r="B56" s="13" t="str">
        <x:v>보호구/PPE</x:v>
      </x:c>
      <x:c r="C56" s="13" t="str">
        <x:v>작업 전 보호구 미착용 상태를 발견했을 때 관리자가 즉시 해야 할 행동은 무엇인가?</x:v>
      </x:c>
      <x:c r="D56" s="15" t="n">
        <x:v>15</x:v>
      </x:c>
      <x:c r="E56" s="15" t="n">
        <x:v>16</x:v>
      </x:c>
      <x:c r="F56" s="15" t="n">
        <x:v>19</x:v>
      </x:c>
      <x:c r="G56" s="15" t="n">
        <x:v>19</x:v>
      </x:c>
      <x:c r="H56" s="15" t="n">
        <x:v>69</x:v>
      </x:c>
      <x:c r="I56" s="16" t="str">
        <x:v>보완 필요</x:v>
      </x:c>
      <x:c r="J56" s="13" t="str">
        <x:v>Y</x:v>
      </x:c>
      <x:c r="K56" s="13" t="str">
        <x:v>총점이 80점 미만; 예상 키워드 매칭 약함</x:v>
      </x:c>
      <x:c r="L56" s="13" t="str">
        <x:v>11_안전보건관리체계_구축_가이드북.txt,11_안전보건관리체계_구축_가이드북.txt,03_산업안전보건법.txt,13_2023_새로운_위험성평가_안내서.txt,03_산업안전보건법.txt</x:v>
      </x:c>
      <x:c r="M56" s="13" t="str">
        <x:v>chunk_00418,chunk_00374,chunk_00047,chunk_00486,chunk_00039</x:v>
      </x:c>
      <x:c r="N56" s="13" t="str">
        <x:v>1차 자동 평가용 답변 초안
질문: 작업 전 보호구 미착용 상태를 발견했을 때 관리자가 즉시 해야 할 행동은 무엇인가?
근거 요약:
- 11_안전보건관리체계_구축_가이드북.txt | chunk_id chunk_00418 |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현장 조치 기준: 작업 전 위험요인 확인, 작업중지·대피 기준, 보고·기록 절차, 보호구·환기·가스측정 여부 확인</x:v>
      </x:c>
      <x:c r="O56" s="13" t="str">
        <x:v>1차 자동 평가(rule-based)</x:v>
      </x:c>
    </x:row>
    <x:row r="57" ht="58" customHeight="1">
      <x:c r="A57" s="13" t="str">
        <x:v>Q056</x:v>
      </x:c>
      <x:c r="B57" s="13" t="str">
        <x:v>TBM(툴박스 미팅)</x:v>
      </x:c>
      <x:c r="C57" s="13" t="str">
        <x:v>작업 전 안전회의에서 위험성평가 결과를 공유하지 않으면 어떤 문제가 생길 수 있는가?</x:v>
      </x:c>
      <x:c r="D57" s="15" t="n">
        <x:v>18</x:v>
      </x:c>
      <x:c r="E57" s="15" t="n">
        <x:v>16</x:v>
      </x:c>
      <x:c r="F57" s="15" t="n">
        <x:v>19</x:v>
      </x:c>
      <x:c r="G57" s="15" t="n">
        <x:v>19</x:v>
      </x:c>
      <x:c r="H57" s="15" t="n">
        <x:v>72</x:v>
      </x:c>
      <x:c r="I57" s="16" t="str">
        <x:v>보통</x:v>
      </x:c>
      <x:c r="J57" s="13" t="str">
        <x:v>Y</x:v>
      </x:c>
      <x:c r="K57" s="13" t="str">
        <x:v>총점이 80점 미만; 예상 키워드 매칭 약함</x:v>
      </x:c>
      <x:c r="L57" s="13" t="str">
        <x:v>13_2023_새로운_위험성평가_안내서.txt,13_2023_새로운_위험성평가_안내서.txt,03_산업안전보건법.txt,13_2023_새로운_위험성평가_안내서.txt,13_2023_새로운_위험성평가_안내서.txt</x:v>
      </x:c>
      <x:c r="M57" s="13" t="str">
        <x:v>chunk_00455,chunk_00447,chunk_00036,chunk_00454,chunk_00441</x:v>
      </x:c>
      <x:c r="N57" s="13" t="str">
        <x:v>1차 자동 평가용 답변 초안
질문: 작업 전 안전회의에서 위험성평가 결과를 공유하지 않으면 어떤 문제가 생길 수 있는가?
근거 요약:
- 13_2023_새로운_위험성평가_안내서.txt | chunk_id chunk_00455 | 할지, 그 대책을 어떻게 실행할 것인지에 집중하는 것이 중요합니다. 평가 절차와 관련된 사항에 대해 긴 시간 논의만 하다가 유해 · 위험요인을 찾아내고 위험성을 감소시켜 산업재해를 예방하는 위험성평가의 목적을 잃는 일은 피해야 합니다. 핵심 포인트 2 “근로자가 참여하고 공유합니다” ===== PAGE 40 ===== 25Ⅰ- 05. 위험성평가의 핵심 포인트 ===== PAGE 41 ====...
- 13_2023_새로운_위험성평가_안내서.txt | chunk_id chunk_00447 |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
- 03_산업안전보건법.txt | chunk_id chunk_00036 | 아야 한다. 이 경우 공정안전보고서의 내용이 중대산업사고를 예방하기 위하여 적합하다고 통보받기 전에는 관련된 유해하거나 위험한 설비를 가동해서는 아니 된다. ② 사업주는 제1항에 따라 공정안전보고서를 작성할 때 산업안전보건위원회의 심의를 거쳐야 한다. 다만, 산업안전 보건위원회가 설치되어 있지 아니한 사업장의 경우에는 근로자대표의 의견을 들어야 한다. 제45조(공정안전보고서의 심사 등) ①...
현장 조치 기준: 작업 전 위험요인 확인, 작업중지·대피 기준, 보고·기록 절차, 보호구·환기·가스측정 여부 확인</x:v>
      </x:c>
      <x:c r="O57" s="13" t="str">
        <x:v>1차 자동 평가(rule-based)</x:v>
      </x:c>
    </x:row>
    <x:row r="58" ht="58" customHeight="1">
      <x:c r="A58" s="13" t="str">
        <x:v>Q057</x:v>
      </x:c>
      <x:c r="B58" s="13" t="str">
        <x:v>발파/불발</x:v>
      </x:c>
      <x:c r="C58" s="13" t="str">
        <x:v>불발 의심 구역에서 작업자들이 접근하려는 경우 관리자가 어떤 의사결정을 해야 하나?</x:v>
      </x:c>
      <x:c r="D58" s="15" t="n">
        <x:v>13</x:v>
      </x:c>
      <x:c r="E58" s="15" t="n">
        <x:v>16</x:v>
      </x:c>
      <x:c r="F58" s="15" t="n">
        <x:v>19</x:v>
      </x:c>
      <x:c r="G58" s="15" t="n">
        <x:v>19</x:v>
      </x:c>
      <x:c r="H58" s="15" t="n">
        <x:v>67</x:v>
      </x:c>
      <x:c r="I58" s="16" t="str">
        <x:v>보완 필요</x:v>
      </x:c>
      <x:c r="J58" s="13" t="str">
        <x:v>Y</x:v>
      </x:c>
      <x:c r="K58" s="13" t="str">
        <x:v>총점이 80점 미만; 예상 키워드 매칭 약함</x:v>
      </x:c>
      <x:c r="L58" s="13" t="str">
        <x:v>04_산업안전보건법_시행령.txt,11_안전보건관리체계_구축_가이드북.txt,03_산업안전보건법.txt,03_산업안전보건법.txt,04_산업안전보건법_시행령.txt</x:v>
      </x:c>
      <x:c r="M58" s="13" t="str">
        <x:v>chunk_00107,chunk_00374,chunk_00039,chunk_00047,chunk_00108</x:v>
      </x:c>
      <x:c r="N58" s="13" t="str">
        <x:v>1차 자동 평가용 답변 초안
질문: 불발 의심 구역에서 작업자들이 접근하려는 경우 관리자가 어떤 의사결정을 해야 하나?
근거 요약: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현장 조치 기준: 작업 전 위험요인 확인, 작업중지·대피 기준, 보고·기록 절차, 보호구·환기·가스측정 여부 확인</x:v>
      </x:c>
      <x:c r="O58" s="13" t="str">
        <x:v>1차 자동 평가(rule-based)</x:v>
      </x:c>
    </x:row>
    <x:row r="59" ht="58" customHeight="1">
      <x:c r="A59" s="13" t="str">
        <x:v>Q058</x:v>
      </x:c>
      <x:c r="B59" s="13" t="str">
        <x:v>환기/유해가스</x:v>
      </x:c>
      <x:c r="C59" s="13" t="str">
        <x:v>유해가스 농도 변동이 심한 구간에서 작업 전 무엇을 확인해야 하나?</x:v>
      </x:c>
      <x:c r="D59" s="15" t="n">
        <x:v>15</x:v>
      </x:c>
      <x:c r="E59" s="15" t="n">
        <x:v>16</x:v>
      </x:c>
      <x:c r="F59" s="15" t="n">
        <x:v>19</x:v>
      </x:c>
      <x:c r="G59" s="15" t="n">
        <x:v>19</x:v>
      </x:c>
      <x:c r="H59" s="15" t="n">
        <x:v>69</x:v>
      </x:c>
      <x:c r="I59" s="16" t="str">
        <x:v>보완 필요</x:v>
      </x:c>
      <x:c r="J59" s="13" t="str">
        <x:v>Y</x:v>
      </x:c>
      <x:c r="K59" s="13" t="str">
        <x:v>총점이 80점 미만; 예상 키워드 매칭 약함</x:v>
      </x:c>
      <x:c r="L59" s="13" t="str">
        <x:v>10_광산안전업무_처리지침_2025-35_latest.txt,02_중대재해처벌법_시행령.txt,08_광산안전법_시행규칙.txt,09_광산안전기술기준_제10차개정_2024-12-19.txt,03_산업안전보건법.txt</x:v>
      </x:c>
      <x:c r="M59" s="13" t="str">
        <x:v>chunk_00350,chunk_00013,chunk_00287,chunk_00313,chunk_00044</x:v>
      </x:c>
      <x:c r="N59" s="13" t="str">
        <x:v>1차 자동 평가용 답변 초안
질문: 유해가스 농도 변동이 심한 구간에서 작업 전 무엇을 확인해야 하나?
근거 요약:
- 10_광산안전업무_처리지침_2025-35_latest.txt | chunk_id chunk_00350 |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
- 02_중대재해처벌법_시행령.txt | chunk_id chunk_00013 |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- 08_광산안전법_시행규칙.txt | chunk_id chunk_00287 | 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
현장 조치 기준: 작업 전 위험요인 확인, 작업중지·대피 기준, 보고·기록 절차, 보호구·환기·가스측정 여부 확인</x:v>
      </x:c>
      <x:c r="O59" s="13" t="str">
        <x:v>1차 자동 평가(rule-based)</x:v>
      </x:c>
    </x:row>
    <x:row r="60" ht="58" customHeight="1">
      <x:c r="A60" s="13" t="str">
        <x:v>Q059</x:v>
      </x:c>
      <x:c r="B60" s="13" t="str">
        <x:v>굴진/낙반/지보</x:v>
      </x:c>
      <x:c r="C60" s="13" t="str">
        <x:v>지보공이 손상된 상태에서 작업자가 접근하려 할 때 관리자가 우선 해야 할 조치는 무엇인가?</x:v>
      </x:c>
      <x:c r="D60" s="15" t="n">
        <x:v>13</x:v>
      </x:c>
      <x:c r="E60" s="15" t="n">
        <x:v>20</x:v>
      </x:c>
      <x:c r="F60" s="15" t="n">
        <x:v>19</x:v>
      </x:c>
      <x:c r="G60" s="15" t="n">
        <x:v>19</x:v>
      </x:c>
      <x:c r="H60" s="15" t="n">
        <x:v>71</x:v>
      </x:c>
      <x:c r="I60" s="16" t="str">
        <x:v>보통</x:v>
      </x:c>
      <x:c r="J60" s="13" t="str">
        <x:v>Y</x:v>
      </x:c>
      <x:c r="K60" s="13" t="str">
        <x:v>총점이 80점 미만</x:v>
      </x:c>
      <x:c r="L60" s="13" t="str">
        <x:v>03_산업안전보건법.txt,11_안전보건관리체계_구축_가이드북.txt,03_산업안전보건법.txt,03_산업안전보건법.txt,11_안전보건관리체계_구축_가이드북.txt</x:v>
      </x:c>
      <x:c r="M60" s="13" t="str">
        <x:v>chunk_00039,chunk_00363,chunk_00047,chunk_00043,chunk_00374</x:v>
      </x:c>
      <x:c r="N60" s="13" t="str">
        <x:v>1차 자동 평가용 답변 초안
질문: 지보공이 손상된 상태에서 작업자가 접근하려 할 때 관리자가 우선 해야 할 조치는 무엇인가?
근거 요약: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- 11_안전보건관리체계_구축_가이드북.txt | chunk_id chunk_00363 | 4조] ① 사업주 또는 경영책임자등은 사업주나 법인 또는 기관이 실질적으로 지배·운영· 관리하는 사업 또는 사업장에서 종사자의 안전·보건상 유해 또는 위험을 방지 하기 위하여 그 사업 또는 사업장의 특성 및 규모 등을 고려하여 다음 각 호에 따른 조치를 하여야 한다. 1. 재해예방에 필요한 인력 및 예산 등 안전보건관리체계의 구축 및 그 이행에 관한 조치 2~4. 생략 ===== PAGE 8...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현장 조치 기준: 작업 전 위험요인 확인, 작업중지·대피 기준, 보고·기록 절차, 보호구·환기·가스측정 여부 확인</x:v>
      </x:c>
      <x:c r="O60" s="13" t="str">
        <x:v>1차 자동 평가(rule-based)</x:v>
      </x:c>
    </x:row>
    <x:row r="61" ht="58" customHeight="1">
      <x:c r="A61" s="13" t="str">
        <x:v>Q060</x:v>
      </x:c>
      <x:c r="B61" s="13" t="str">
        <x:v>보호구/PPE</x:v>
      </x:c>
      <x:c r="C61" s="13" t="str">
        <x:v>분진이 많은 구간에서 방진마스크 착용 여부를 어떻게 관리해야 하나?</x:v>
      </x:c>
      <x:c r="D61" s="15" t="n">
        <x:v>6</x:v>
      </x:c>
      <x:c r="E61" s="15" t="n">
        <x:v>16</x:v>
      </x:c>
      <x:c r="F61" s="15" t="n">
        <x:v>19</x:v>
      </x:c>
      <x:c r="G61" s="15" t="n">
        <x:v>19</x:v>
      </x:c>
      <x:c r="H61" s="15" t="n">
        <x:v>60</x:v>
      </x:c>
      <x:c r="I61" s="16" t="str">
        <x:v>보완 필요</x:v>
      </x:c>
      <x:c r="J61" s="13" t="str">
        <x:v>Y</x:v>
      </x:c>
      <x:c r="K61" s="13" t="str">
        <x:v>총점이 80점 미만; 예상 키워드 매칭 약함; 상위 근거 연관성 약함</x:v>
      </x:c>
      <x:c r="L61" s="13" t="str">
        <x:v>11_안전보건관리체계_구축_가이드북.txt,07_광산안전법_시행령.txt,02_중대재해처벌법_시행령.txt,11_안전보건관리체계_구축_가이드북.txt,13_2023_새로운_위험성평가_안내서.txt</x:v>
      </x:c>
      <x:c r="M61" s="13" t="str">
        <x:v>chunk_00385,chunk_00274,chunk_00014,chunk_00418,chunk_00452</x:v>
      </x:c>
      <x:c r="N61" s="13" t="str">
        <x:v>1차 자동 평가용 답변 초안
질문: 분진이 많은 구간에서 방진마스크 착용 여부를 어떻게 관리해야 하나?
근거 요약:
- 11_안전보건관리체계_구축_가이드북.txt | chunk_id chunk_00385 |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- 07_광산안전법_시행령.txt | chunk_id chunk_00274 |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
- 02_중대재해처벌법_시행령.txt | chunk_id chunk_00014 | 치의 구체적인 사항은 다음 각 호와 같다. 1. 다음 각 목의 사항을 이행하는 데 필요한 인력을 갖추어 중대시민재해 예방을 위한 업무를 수행하도록 할 것 가. 법 제9조제2항제4호의 안전ㆍ보건 관계 법령에 따른 안전관리 업무의 수행 나. 제4호에 따라 수립된 안전계획의 이행 다. 그 밖에 공중이용시설 또는 공중교통수단과 그 이용자나 그 밖의 사람의 안전에 관하여 국토교통부장관이 정 하여 고시...
현장 조치 기준: 작업 전 위험요인 확인, 작업중지·대피 기준, 보고·기록 절차, 보호구·환기·가스측정 여부 확인</x:v>
      </x:c>
      <x:c r="O61" s="13" t="str">
        <x:v>1차 자동 평가(rule-based)</x:v>
      </x:c>
    </x:row>
    <x:row r="62" ht="58" customHeight="1">
      <x:c r="A62" s="13" t="str">
        <x:v>Q061</x:v>
      </x:c>
      <x:c r="B62" s="13" t="str">
        <x:v>TBM(툴박스 미팅)</x:v>
      </x:c>
      <x:c r="C62" s="13" t="str">
        <x:v>작업 전 안전회의에서 작업 재개 조건을 누가 최종 확인해야 하는가?</x:v>
      </x:c>
      <x:c r="D62" s="15" t="n">
        <x:v>18</x:v>
      </x:c>
      <x:c r="E62" s="15" t="n">
        <x:v>20</x:v>
      </x:c>
      <x:c r="F62" s="15" t="n">
        <x:v>19</x:v>
      </x:c>
      <x:c r="G62" s="15" t="n">
        <x:v>19</x:v>
      </x:c>
      <x:c r="H62" s="15" t="n">
        <x:v>76</x:v>
      </x:c>
      <x:c r="I62" s="16" t="str">
        <x:v>보통</x:v>
      </x:c>
      <x:c r="J62" s="13" t="str">
        <x:v>Y</x:v>
      </x:c>
      <x:c r="K62" s="13" t="str">
        <x:v>총점이 80점 미만</x:v>
      </x:c>
      <x:c r="L62" s="13" t="str">
        <x:v>13_2023_새로운_위험성평가_안내서.txt,11_안전보건관리체계_구축_가이드북.txt,13_2023_새로운_위험성평가_안내서.txt,11_안전보건관리체계_구축_가이드북.txt,03_산업안전보건법.txt</x:v>
      </x:c>
      <x:c r="M62" s="13" t="str">
        <x:v>chunk_00486,chunk_00396,chunk_00435,chunk_00374,chunk_00036</x:v>
      </x:c>
      <x:c r="N62" s="13" t="str">
        <x:v>1차 자동 평가용 답변 초안
질문: 작업 전 안전회의에서 작업 재개 조건을 누가 최종 확인해야 하는가?
근거 요약: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- 11_안전보건관리체계_구축_가이드북.txt | chunk_id chunk_00396 |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
- 13_2023_새로운_위험성평가_안내서.txt | chunk_id chunk_00435 | 파악한 유해 · 위험요인별로 위험성 수준을 결정하고, 「산업안전 보건법」 등에서 정한 것 이상으로 위험성 감소대책 및 이행계획을 마련한다. 주(週) 매주 □요일 • 현장소장 • 평가담당자 • 공사담당자 • 협력업체소장 원·하청 합동 안전점검회의 (주 단위 공정회의 병행) • 향후 1주간 공정 · 작업별 핵심 유해 · 위험요인과 근로자들의 주의 · 준수사항에 대해 공유한다. • 지난 1주간 유...
현장 조치 기준: 작업 전 위험요인 확인, 작업중지·대피 기준, 보고·기록 절차, 보호구·환기·가스측정 여부 확인</x:v>
      </x:c>
      <x:c r="O62" s="13" t="str">
        <x:v>1차 자동 평가(rule-based)</x:v>
      </x:c>
    </x:row>
    <x:row r="63" ht="58" customHeight="1">
      <x:c r="A63" s="13" t="str">
        <x:v>Q062</x:v>
      </x:c>
      <x:c r="B63" s="13" t="str">
        <x:v>발파/불발</x:v>
      </x:c>
      <x:c r="C63" s="13" t="str">
        <x:v>발파 후 재진입 전에 관리자가 확인해야 할 가장 중요한 사항은 무엇인가?</x:v>
      </x:c>
      <x:c r="D63" s="15" t="n">
        <x:v>6</x:v>
      </x:c>
      <x:c r="E63" s="15" t="n">
        <x:v>16</x:v>
      </x:c>
      <x:c r="F63" s="15" t="n">
        <x:v>19</x:v>
      </x:c>
      <x:c r="G63" s="15" t="n">
        <x:v>19</x:v>
      </x:c>
      <x:c r="H63" s="15" t="n">
        <x:v>60</x:v>
      </x:c>
      <x:c r="I63" s="16" t="str">
        <x:v>보완 필요</x:v>
      </x:c>
      <x:c r="J63" s="13" t="str">
        <x:v>Y</x:v>
      </x:c>
      <x:c r="K63" s="13" t="str">
        <x:v>총점이 80점 미만; 예상 키워드 매칭 약함; 상위 근거 연관성 약함</x:v>
      </x:c>
      <x:c r="L63" s="13" t="str">
        <x:v>11_안전보건관리체계_구축_가이드북.txt,11_안전보건관리체계_구축_가이드북.txt,03_산업안전보건법.txt,05_산업안전보건법_시행규칙.txt,03_산업안전보건법.txt</x:v>
      </x:c>
      <x:c r="M63" s="13" t="str">
        <x:v>chunk_00374,chunk_00363,chunk_00031,chunk_00159,chunk_00047</x:v>
      </x:c>
      <x:c r="N63" s="13" t="str">
        <x:v>1차 자동 평가용 답변 초안
질문: 발파 후 재진입 전에 관리자가 확인해야 할 가장 중요한 사항은 무엇인가?
근거 요약: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- 11_안전보건관리체계_구축_가이드북.txt | chunk_id chunk_00363 | 4조] ① 사업주 또는 경영책임자등은 사업주나 법인 또는 기관이 실질적으로 지배·운영· 관리하는 사업 또는 사업장에서 종사자의 안전·보건상 유해 또는 위험을 방지 하기 위하여 그 사업 또는 사업장의 특성 및 규모 등을 고려하여 다음 각 호에 따른 조치를 하여야 한다. 1. 재해예방에 필요한 인력 및 예산 등 안전보건관리체계의 구축 및 그 이행에 관한 조치 2~4. 생략 ===== PAGE 8...
- 03_산업안전보건법.txt | chunk_id chunk_00031 | 정하는 인력 ㆍ시설 및 장비 등의 요건을 갖추어 고용노동부장관에게 등록하여야 한다. 등록한 사항 중 대통령령으로 정하는 중 요한 사항을 변경할 때에도 또한 같다. ② 고용노동부장관은 제1항에 따라 등록한 자(이하 “안전보건교육기관”이라 한다)에 대하여 평가하고 그 결과를 공 개할 수 있다. 이 경우 평가의 기준ㆍ방법 및 결과의 공개에 필요한 사항은 고용노동부령으로 정한다. ③ 제1항에 따른...
현장 조치 기준: 작업 전 위험요인 확인, 작업중지·대피 기준, 보고·기록 절차, 보호구·환기·가스측정 여부 확인</x:v>
      </x:c>
      <x:c r="O63" s="13" t="str">
        <x:v>1차 자동 평가(rule-based)</x:v>
      </x:c>
    </x:row>
    <x:row r="64" ht="58" customHeight="1">
      <x:c r="A64" s="13" t="str">
        <x:v>Q063</x:v>
      </x:c>
      <x:c r="B64" s="13" t="str">
        <x:v>환기/유해가스</x:v>
      </x:c>
      <x:c r="C64" s="13" t="str">
        <x:v>작업 전 환기 상태가 불안정할 때 어떤 조치를 우선해야 하나?</x:v>
      </x:c>
      <x:c r="D64" s="15" t="n">
        <x:v>15</x:v>
      </x:c>
      <x:c r="E64" s="15" t="n">
        <x:v>16</x:v>
      </x:c>
      <x:c r="F64" s="15" t="n">
        <x:v>19</x:v>
      </x:c>
      <x:c r="G64" s="15" t="n">
        <x:v>19</x:v>
      </x:c>
      <x:c r="H64" s="15" t="n">
        <x:v>69</x:v>
      </x:c>
      <x:c r="I64" s="16" t="str">
        <x:v>보완 필요</x:v>
      </x:c>
      <x:c r="J64" s="13" t="str">
        <x:v>Y</x:v>
      </x:c>
      <x:c r="K64" s="13" t="str">
        <x:v>총점이 80점 미만; 예상 키워드 매칭 약함</x:v>
      </x:c>
      <x:c r="L64" s="13" t="str">
        <x:v>11_안전보건관리체계_구축_가이드북.txt,13_2023_새로운_위험성평가_안내서.txt,13_2023_새로운_위험성평가_안내서.txt,13_2023_새로운_위험성평가_안내서.txt,03_산업안전보건법.txt</x:v>
      </x:c>
      <x:c r="M64" s="13" t="str">
        <x:v>chunk_00398,chunk_00475,chunk_00458,chunk_00457,chunk_00069</x:v>
      </x:c>
      <x:c r="N64" s="13" t="str">
        <x:v>1차 자동 평가용 답변 초안
질문: 작업 전 환기 상태가 불안정할 때 어떤 조치를 우선해야 하나?
근거 요약:
- 11_안전보건관리체계_구축_가이드북.txt | chunk_id chunk_00398 |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
- 13_2023_새로운_위험성평가_안내서.txt | chunk_id chunk_00475 |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
- 13_2023_새로운_위험성평가_안내서.txt | chunk_id chunk_00458 | 것이 합리적으로 예견 가능한 모든 유해·위험요인”이 됩니다. ● 이 때 “업무 중”이란 매일 같은 장소에서 반복하는 작업 외에도 임시·수시로 하는 작업을 포함합니다. 오히려 비정형·임시·수시 작업의 경우 근로자들이 익숙하지 못한 상황에서 사고를 당하기 쉽기 때문입니다. ● 또한 “근로자”는 해당 작업을 수행하는 근로자 뿐만 아니라 유해·위험요인 주변에서 작업하여 영향을 받을 수 있는 모든 근...
현장 조치 기준: 작업 전 위험요인 확인, 작업중지·대피 기준, 보고·기록 절차, 보호구·환기·가스측정 여부 확인</x:v>
      </x:c>
      <x:c r="O64" s="13" t="str">
        <x:v>1차 자동 평가(rule-based)</x:v>
      </x:c>
    </x:row>
    <x:row r="65" ht="58" customHeight="1">
      <x:c r="A65" s="13" t="str">
        <x:v>Q064</x:v>
      </x:c>
      <x:c r="B65" s="13" t="str">
        <x:v>굴진/낙반/지보</x:v>
      </x:c>
      <x:c r="C65" s="13" t="str">
        <x:v>지보재 설치가 끝난 뒤 작업자에게 공유해야 할 정보는 무엇인가?</x:v>
      </x:c>
      <x:c r="D65" s="15" t="n">
        <x:v>6</x:v>
      </x:c>
      <x:c r="E65" s="15" t="n">
        <x:v>16</x:v>
      </x:c>
      <x:c r="F65" s="15" t="n">
        <x:v>19</x:v>
      </x:c>
      <x:c r="G65" s="15" t="n">
        <x:v>19</x:v>
      </x:c>
      <x:c r="H65" s="15" t="n">
        <x:v>60</x:v>
      </x:c>
      <x:c r="I65" s="16" t="str">
        <x:v>보완 필요</x:v>
      </x:c>
      <x:c r="J65" s="13" t="str">
        <x:v>Y</x:v>
      </x:c>
      <x:c r="K65" s="13" t="str">
        <x:v>총점이 80점 미만; 예상 키워드 매칭 약함; 상위 근거 연관성 약함</x:v>
      </x:c>
      <x:c r="L65" s="13" t="str">
        <x:v>05_산업안전보건법_시행규칙.txt,11_안전보건관리체계_구축_가이드북.txt,05_산업안전보건법_시행규칙.txt,03_산업안전보건법.txt,13_2023_새로운_위험성평가_안내서.txt</x:v>
      </x:c>
      <x:c r="M65" s="13" t="str">
        <x:v>chunk_00187,chunk_00396,chunk_00193,chunk_00047,chunk_00486</x:v>
      </x:c>
      <x:c r="N65" s="13" t="str">
        <x:v>1차 자동 평가용 답변 초안
질문: 지보재 설치가 끝난 뒤 작업자에게 공유해야 할 정보는 무엇인가?
근거 요약:
- 05_산업안전보건법_시행규칙.txt | chunk_id chunk_00187 | 건설공사발주자의 법령상 주요 의무사항 및 이에 대한 확인 ② 법 제67조제1항제2호에 따른 설계안전보건대장에는 다음 각 호의 사항이 포함되어야 한다. 다만, 건설공사발주 자가「건설기술 진흥법」 제39조제3항 및 제4항에 따라 설계용역에 대하여 건설엔지니어링사업자로 하여금 건설사 업관리를 하게 하고 해당 설계용역에 대하여 같은 법 시행령 제59조제4항제8호에 따른 공사기간 및 공사비의 적정 성...
- 11_안전보건관리체계_구축_가이드북.txt | chunk_id chunk_00396 |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
- 05_산업안전보건법_시행규칙.txt | chunk_id chunk_00193 | 의 공정화에 관한 법률」 제2조제9호에 따른 가맹계약서의 관계 서류에 포함하여 제공 2. 가맹본부가 가맹점에 설비ㆍ기계 및 원자재 또는 상품 등을 설치하거나 공급하는 때에 제공 3. 「가맹사업거래의 공정화에 관한 법률」 제5조제4호의 가맹점사업자와 그 직원에 대한 교육ㆍ훈련 시에 제공 4. 그 밖에 프로그램 운영을 위하여 가맹본부가 가맹점사업자에 대하여 정기ㆍ수시 방문지도 시에 제공 5. 「...
현장 조치 기준: 작업 전 위험요인 확인, 작업중지·대피 기준, 보고·기록 절차, 보호구·환기·가스측정 여부 확인</x:v>
      </x:c>
      <x:c r="O65" s="13" t="str">
        <x:v>1차 자동 평가(rule-based)</x:v>
      </x:c>
    </x:row>
    <x:row r="66" ht="58" customHeight="1">
      <x:c r="A66" s="13" t="str">
        <x:v>Q065</x:v>
      </x:c>
      <x:c r="B66" s="13" t="str">
        <x:v>보호구/PPE</x:v>
      </x:c>
      <x:c r="C66" s="13" t="str">
        <x:v>분진 노출이 우려되는 작업에서 관리자가 작업자에게 무엇을 반드시 안내해야 하나?</x:v>
      </x:c>
      <x:c r="D66" s="15" t="n">
        <x:v>13</x:v>
      </x:c>
      <x:c r="E66" s="15" t="n">
        <x:v>16</x:v>
      </x:c>
      <x:c r="F66" s="15" t="n">
        <x:v>19</x:v>
      </x:c>
      <x:c r="G66" s="15" t="n">
        <x:v>19</x:v>
      </x:c>
      <x:c r="H66" s="15" t="n">
        <x:v>67</x:v>
      </x:c>
      <x:c r="I66" s="16" t="str">
        <x:v>보완 필요</x:v>
      </x:c>
      <x:c r="J66" s="13" t="str">
        <x:v>Y</x:v>
      </x:c>
      <x:c r="K66" s="13" t="str">
        <x:v>총점이 80점 미만; 예상 키워드 매칭 약함</x:v>
      </x:c>
      <x:c r="L66" s="13" t="str">
        <x:v>13_2023_새로운_위험성평가_안내서.txt,11_안전보건관리체계_구축_가이드북.txt,13_2023_새로운_위험성평가_안내서.txt,05_산업안전보건법_시행규칙.txt,13_2023_새로운_위험성평가_안내서.txt</x:v>
      </x:c>
      <x:c r="M66" s="13" t="str">
        <x:v>chunk_00486,chunk_00374,chunk_00466,chunk_00231,chunk_00464</x:v>
      </x:c>
      <x:c r="N66" s="13" t="str">
        <x:v>1차 자동 평가용 답변 초안
질문: 분진 노출이 우려되는 작업에서 관리자가 작업자에게 무엇을 반드시 안내해야 하나?
근거 요약:
- 13_2023_새로운_위험성평가_안내서.txt | chunk_id chunk_00486 |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- 13_2023_새로운_위험성평가_안내서.txt | chunk_id chunk_00466 | 제36조에 따른 위험성평가에 관한 보좌 및 지도·조언 제  62조(안전보건총괄책임자) ① 도급인은 관계수급인 근로자가 도급인의 사업장에서 작업을 하는 경우 에는 그 사업장의 안전보건관리책임자를 도급인의 근로자와 관계수급인 근로자의 산업재해를 예방하기 위한 업무를 총괄하여 관리하는 안전보건총괄책임자로 지정하여야 한다. 이 경우 안전 보건관리책임자를 두지 아니하여도 되는 사업장에서는 그 사업장에...
현장 조치 기준: 작업 전 위험요인 확인, 작업중지·대피 기준, 보고·기록 절차, 보호구·환기·가스측정 여부 확인</x:v>
      </x:c>
      <x:c r="O66" s="13" t="str">
        <x:v>1차 자동 평가(rule-based)</x:v>
      </x:c>
    </x:row>
    <x:row r="67" ht="58" customHeight="1">
      <x:c r="A67" s="13" t="str">
        <x:v>Q066</x:v>
      </x:c>
      <x:c r="B67" s="13" t="str">
        <x:v>전기안전</x:v>
      </x:c>
      <x:c r="C67" s="13" t="str">
        <x:v>전기설비 점검 전 차단·잠금·표지 절차를 꼭 확인해야 하는 이유는 무엇인가?</x:v>
      </x:c>
      <x:c r="D67" s="15" t="n">
        <x:v>18</x:v>
      </x:c>
      <x:c r="E67" s="15" t="n">
        <x:v>20</x:v>
      </x:c>
      <x:c r="F67" s="15" t="n">
        <x:v>19</x:v>
      </x:c>
      <x:c r="G67" s="15" t="n">
        <x:v>19</x:v>
      </x:c>
      <x:c r="H67" s="15" t="n">
        <x:v>76</x:v>
      </x:c>
      <x:c r="I67" s="16" t="str">
        <x:v>보통</x:v>
      </x:c>
      <x:c r="J67" s="13" t="str">
        <x:v>Y</x:v>
      </x:c>
      <x:c r="K67" s="13" t="str">
        <x:v>총점이 80점 미만</x:v>
      </x:c>
      <x:c r="L67" s="13" t="str">
        <x:v>08_광산안전법_시행규칙.txt,11_안전보건관리체계_구축_가이드북.txt,09_광산안전기술기준_제10차개정_2024-12-19.txt,11_안전보건관리체계_구축_가이드북.txt,07_광산안전법_시행령.txt</x:v>
      </x:c>
      <x:c r="M67" s="13" t="str">
        <x:v>chunk_00286,chunk_00418,chunk_00313,chunk_00408,chunk_00272</x:v>
      </x:c>
      <x:c r="N67" s="13" t="str">
        <x:v>1차 자동 평가용 답변 초안
질문: 전기설비 점검 전 차단·잠금·표지 절차를 꼭 확인해야 하는 이유는 무엇인가?
근거 요약:
- 08_광산안전법_시행규칙.txt | chunk_id chunk_00286 |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
- 11_안전보건관리체계_구축_가이드북.txt | chunk_id chunk_00418 |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- 09_광산안전기술기준_제10차개정_2024-12-19.txt | chunk_id chunk_00313 |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현장 조치 기준: 작업 전 위험요인 확인, 작업중지·대피 기준, 보고·기록 절차, 보호구·환기·가스측정 여부 확인</x:v>
      </x:c>
      <x:c r="O67" s="13" t="str">
        <x:v>1차 자동 평가(rule-based)</x:v>
      </x:c>
    </x:row>
    <x:row r="68" ht="58" customHeight="1">
      <x:c r="A68" s="13" t="str">
        <x:v>Q067</x:v>
      </x:c>
      <x:c r="B68" s="13" t="str">
        <x:v>전기안전</x:v>
      </x:c>
      <x:c r="C68" s="13" t="str">
        <x:v>감전 위험이 있는 습기 많은 구간에서 작업 전 관리자가 확인해야 할 항목은 무엇인가?</x:v>
      </x:c>
      <x:c r="D68" s="15" t="n">
        <x:v>8</x:v>
      </x:c>
      <x:c r="E68" s="15" t="n">
        <x:v>16</x:v>
      </x:c>
      <x:c r="F68" s="15" t="n">
        <x:v>19</x:v>
      </x:c>
      <x:c r="G68" s="15" t="n">
        <x:v>19</x:v>
      </x:c>
      <x:c r="H68" s="15" t="n">
        <x:v>62</x:v>
      </x:c>
      <x:c r="I68" s="16" t="str">
        <x:v>보완 필요</x:v>
      </x:c>
      <x:c r="J68" s="13" t="str">
        <x:v>Y</x:v>
      </x:c>
      <x:c r="K68" s="13" t="str">
        <x:v>총점이 80점 미만; 예상 키워드 매칭 약함; 상위 근거 연관성 약함</x:v>
      </x:c>
      <x:c r="L68" s="13" t="str">
        <x:v>05_산업안전보건법_시행규칙.txt,03_산업안전보건법.txt,09_광산안전기술기준_제10차개정_2024-12-19.txt,04_산업안전보건법_시행령.txt,02_중대재해처벌법_시행령.txt</x:v>
      </x:c>
      <x:c r="M68" s="13" t="str">
        <x:v>chunk_00231,chunk_00069,chunk_00297,chunk_00124,chunk_00013</x:v>
      </x:c>
      <x:c r="N68" s="13" t="str">
        <x:v>1차 자동 평가용 답변 초안
질문: 감전 위험이 있는 습기 많은 구간에서 작업 전 관리자가 확인해야 할 항목은 무엇인가?
근거 요약:
- 05_산업안전보건법_시행규칙.txt | chunk_id chunk_00231 |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- 03_산업안전보건법.txt | chunk_id chunk_00069 |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- 09_광산안전기술기준_제10차개정_2024-12-19.txt | chunk_id chunk_00297 |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
현장 조치 기준: 작업 전 위험요인 확인, 작업중지·대피 기준, 보고·기록 절차, 보호구·환기·가스측정 여부 확인</x:v>
      </x:c>
      <x:c r="O68" s="13" t="str">
        <x:v>1차 자동 평가(rule-based)</x:v>
      </x:c>
    </x:row>
    <x:row r="69" ht="58" customHeight="1">
      <x:c r="A69" s="13" t="str">
        <x:v>Q068</x:v>
      </x:c>
      <x:c r="B69" s="13" t="str">
        <x:v>전기안전</x:v>
      </x:c>
      <x:c r="C69" s="13" t="str">
        <x:v>누전차단기 트립이 발생했을 때 작업자에게 먼저 알려야 할 내용은 무엇인가?</x:v>
      </x:c>
      <x:c r="D69" s="15" t="n">
        <x:v>6</x:v>
      </x:c>
      <x:c r="E69" s="15" t="n">
        <x:v>16</x:v>
      </x:c>
      <x:c r="F69" s="15" t="n">
        <x:v>19</x:v>
      </x:c>
      <x:c r="G69" s="15" t="n">
        <x:v>19</x:v>
      </x:c>
      <x:c r="H69" s="15" t="n">
        <x:v>60</x:v>
      </x:c>
      <x:c r="I69" s="16" t="str">
        <x:v>보완 필요</x:v>
      </x:c>
      <x:c r="J69" s="13" t="str">
        <x:v>Y</x:v>
      </x:c>
      <x:c r="K69" s="13" t="str">
        <x:v>총점이 80점 미만; 예상 키워드 매칭 약함; 상위 근거 연관성 약함</x:v>
      </x:c>
      <x:c r="L69" s="13" t="str">
        <x:v>09_광산안전기술기준_제10차개정_2024-12-19.txt,13_2023_새로운_위험성평가_안내서.txt,13_2023_새로운_위험성평가_안내서.txt,13_2023_새로운_위험성평가_안내서.txt,13_2023_새로운_위험성평가_안내서.txt</x:v>
      </x:c>
      <x:c r="M69" s="13" t="str">
        <x:v>chunk_00303,chunk_00481,chunk_00476,chunk_00454,chunk_00482</x:v>
      </x:c>
      <x:c r="N69" s="13" t="str">
        <x:v>1차 자동 평가용 답변 초안
질문: 누전차단기 트립이 발생했을 때 작업자에게 먼저 알려야 할 내용은 무엇인가?
근거 요약:
- 09_광산안전기술기준_제10차개정_2024-12-19.txt | chunk_id chunk_00303 |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- 13_2023_새로운_위험성평가_안내서.txt | chunk_id chunk_00481 |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- 13_2023_새로운_위험성평가_안내서.txt | chunk_id chunk_00476 |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현장 조치 기준: 작업 전 위험요인 확인, 작업중지·대피 기준, 보고·기록 절차, 보호구·환기·가스측정 여부 확인</x:v>
      </x:c>
      <x:c r="O69" s="13" t="str">
        <x:v>1차 자동 평가(rule-based)</x:v>
      </x:c>
    </x:row>
    <x:row r="70" ht="58" customHeight="1">
      <x:c r="A70" s="13" t="str">
        <x:v>Q069</x:v>
      </x:c>
      <x:c r="B70" s="13" t="str">
        <x:v>전기안전</x:v>
      </x:c>
      <x:c r="C70" s="13" t="str">
        <x:v>방폭형 설비 근처에서 작업을 시작하기 전 어떤 점검이 필요한가?</x:v>
      </x:c>
      <x:c r="D70" s="15" t="n">
        <x:v>16</x:v>
      </x:c>
      <x:c r="E70" s="15" t="n">
        <x:v>20</x:v>
      </x:c>
      <x:c r="F70" s="15" t="n">
        <x:v>19</x:v>
      </x:c>
      <x:c r="G70" s="15" t="n">
        <x:v>19</x:v>
      </x:c>
      <x:c r="H70" s="15" t="n">
        <x:v>74</x:v>
      </x:c>
      <x:c r="I70" s="16" t="str">
        <x:v>보통</x:v>
      </x:c>
      <x:c r="J70" s="13" t="str">
        <x:v>Y</x:v>
      </x:c>
      <x:c r="K70" s="13" t="str">
        <x:v>총점이 80점 미만</x:v>
      </x:c>
      <x:c r="L70" s="13" t="str">
        <x:v>09_광산안전기술기준_제10차개정_2024-12-19.txt,07_광산안전법_시행령.txt,05_산업안전보건법_시행규칙.txt,05_산업안전보건법_시행규칙.txt,05_산업안전보건법_시행규칙.txt</x:v>
      </x:c>
      <x:c r="M70" s="13" t="str">
        <x:v>chunk_00303,chunk_00272,chunk_00208,chunk_00205,chunk_00232</x:v>
      </x:c>
      <x:c r="N70" s="13" t="str">
        <x:v>1차 자동 평가용 답변 초안
질문: 방폭형 설비 근처에서 작업을 시작하기 전 어떤 점검이 필요한가?
근거 요약:
- 09_광산안전기술기준_제10차개정_2024-12-19.txt | chunk_id chunk_00303 |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- 07_광산안전법_시행령.txt | chunk_id chunk_00272 |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
- 05_산업안전보건법_시행규칙.txt | chunk_id chunk_00208 |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
현장 조치 기준: 작업 전 위험요인 확인, 작업중지·대피 기준, 보고·기록 절차, 보호구·환기·가스측정 여부 확인</x:v>
      </x:c>
      <x:c r="O70" s="13" t="str">
        <x:v>1차 자동 평가(rule-based)</x:v>
      </x:c>
    </x:row>
    <x:row r="71" ht="58" customHeight="1">
      <x:c r="A71" s="13" t="str">
        <x:v>Q070</x:v>
      </x:c>
      <x:c r="B71" s="13" t="str">
        <x:v>장비/운반/차량</x:v>
      </x:c>
      <x:c r="C71" s="13" t="str">
        <x:v>운반장비 운행 전 통로와 조명 상태를 확인해야 하는 이유는 무엇인가?</x:v>
      </x:c>
      <x:c r="D71" s="15" t="n">
        <x:v>10</x:v>
      </x:c>
      <x:c r="E71" s="15" t="n">
        <x:v>16</x:v>
      </x:c>
      <x:c r="F71" s="15" t="n">
        <x:v>19</x:v>
      </x:c>
      <x:c r="G71" s="15" t="n">
        <x:v>19</x:v>
      </x:c>
      <x:c r="H71" s="15" t="n">
        <x:v>64</x:v>
      </x:c>
      <x:c r="I71" s="16" t="str">
        <x:v>보완 필요</x:v>
      </x:c>
      <x:c r="J71" s="13" t="str">
        <x:v>Y</x:v>
      </x:c>
      <x:c r="K71" s="13" t="str">
        <x:v>총점이 80점 미만; 예상 키워드 매칭 약함; 상위 근거 연관성 약함</x:v>
      </x:c>
      <x:c r="L71" s="13" t="str">
        <x:v>09_광산안전기술기준_제10차개정_2024-12-19.txt,09_광산안전기술기준_제10차개정_2024-12-19.txt,09_광산안전기술기준_제10차개정_2024-12-19.txt,09_광산안전기술기준_제10차개정_2024-12-19.txt,09_광산안전기술기준_제10차개정_2024-12-19.txt</x:v>
      </x:c>
      <x:c r="M71" s="13" t="str">
        <x:v>chunk_00322,chunk_00321,chunk_00323,chunk_00317,chunk_00331</x:v>
      </x:c>
      <x:c r="N71" s="13" t="str">
        <x:v>1차 자동 평가용 답변 초안
질문: 운반장비 운행 전 통로와 조명 상태를 확인해야 하는 이유는 무엇인가?
근거 요약:
- 09_광산안전기술기준_제10차개정_2024-12-19.txt | chunk_id chunk_00322 | 리직원이 배치한 운전원 또는 보수ㆍ유지ㆍ시험작업을 지시받은 자가 아니면 권양기 또는 기관차를 운전하여서는 안 된다. ②기관차의 운전원이 기관차로부터 떠날 때에는 다른 사람이 운전할 수 없도록 조치하여야 한다.제119조(운전원의 준수사항) 기관차의 운전원은 다음 각 호의 사항을 준수하여야 한다. 1. 가공선식전기기관차의 포오르를 역으로 하여 운전하지 아니할 것 2. 엔드레스권양기운반을 제외하고...
- 09_광산안전기술기준_제10차개정_2024-12-19.txt | chunk_id chunk_00321 | 있는 경우에는 광업권자 또는 조광권자, 광산안전관리직원의 승인을 얻어야 한다.제110조(인차의 승강) 광산근로자는 인차가 완전히 정지한 후에 승강하여야 한다. 다만, 조차원이 인차의 조작을 하기 위하여 승강할 때에는 예외로 한다. 제4절 기관차등에 의한 운반제111조(기관차) ①기관차에는 다음 각 호의 기구 등을 비치하여야 한 ===== PAGE 51 ===== - 51 - 다. 다만, 제1...
- 09_광산안전기술기준_제10차개정_2024-12-19.txt | chunk_id chunk_00323 |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현장 조치 기준: 작업 전 위험요인 확인, 작업중지·대피 기준, 보고·기록 절차, 보호구·환기·가스측정 여부 확인</x:v>
      </x:c>
      <x:c r="O71" s="13" t="str">
        <x:v>1차 자동 평가(rule-based)</x:v>
      </x:c>
    </x:row>
    <x:row r="72" ht="58" customHeight="1">
      <x:c r="A72" s="13" t="str">
        <x:v>Q071</x:v>
      </x:c>
      <x:c r="B72" s="13" t="str">
        <x:v>장비/운반/차량</x:v>
      </x:c>
      <x:c r="C72" s="13" t="str">
        <x:v>차량과 작업자가 같은 구역을 공유할 때 관리자가 우선 확보해야 할 것은 무엇인가?</x:v>
      </x:c>
      <x:c r="D72" s="15" t="n">
        <x:v>8</x:v>
      </x:c>
      <x:c r="E72" s="15" t="n">
        <x:v>16</x:v>
      </x:c>
      <x:c r="F72" s="15" t="n">
        <x:v>19</x:v>
      </x:c>
      <x:c r="G72" s="15" t="n">
        <x:v>19</x:v>
      </x:c>
      <x:c r="H72" s="15" t="n">
        <x:v>62</x:v>
      </x:c>
      <x:c r="I72" s="16" t="str">
        <x:v>보완 필요</x:v>
      </x:c>
      <x:c r="J72" s="13" t="str">
        <x:v>Y</x:v>
      </x:c>
      <x:c r="K72" s="13" t="str">
        <x:v>총점이 80점 미만; 예상 키워드 매칭 약함; 상위 근거 연관성 약함</x:v>
      </x:c>
      <x:c r="L72" s="13" t="str">
        <x:v>03_산업안전보건법.txt,04_산업안전보건법_시행령.txt,04_산업안전보건법_시행령.txt,05_산업안전보건법_시행규칙.txt,11_안전보건관리체계_구축_가이드북.txt</x:v>
      </x:c>
      <x:c r="M72" s="13" t="str">
        <x:v>chunk_00047,chunk_00125,chunk_00107,chunk_00202,chunk_00414</x:v>
      </x:c>
      <x:c r="N72" s="13" t="str">
        <x:v>1차 자동 평가용 답변 초안
질문: 차량과 작업자가 같은 구역을 공유할 때 관리자가 우선 확보해야 할 것은 무엇인가?
근거 요약: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- 04_산업안전보건법_시행령.txt | chunk_id chunk_00125 | 구역 내에서 같은 사 업주가 시공하는 셋 이하의 공사에 대하여 공동으로 안전관리자의 자격을 가진 사람 1명을 선임한 경우를 포함한 다)하여 제18조제1항 각 호에 따른 안전관리자의 업무만을 전담하도록 하는 공사 4. 법 제42조제1항에 따라 유해위험방지계획서를 제출해야 하는 공사 ② 제1항에 따른 건설공사의 건설공사발주자 또는 건설공사도급인(건설공사도급인은 건설공사발주자로부터 건설 공사를 최...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현장 조치 기준: 작업 전 위험요인 확인, 작업중지·대피 기준, 보고·기록 절차, 보호구·환기·가스측정 여부 확인</x:v>
      </x:c>
      <x:c r="O72" s="13" t="str">
        <x:v>1차 자동 평가(rule-based)</x:v>
      </x:c>
    </x:row>
    <x:row r="73" ht="58" customHeight="1">
      <x:c r="A73" s="13" t="str">
        <x:v>Q072</x:v>
      </x:c>
      <x:c r="B73" s="13" t="str">
        <x:v>장비/운반/차량</x:v>
      </x:c>
      <x:c r="C73" s="13" t="str">
        <x:v>경사로를 이용하는 운반장비에 적재물이 불안정할 때 어떤 조치를 해야 하나?</x:v>
      </x:c>
      <x:c r="D73" s="15" t="n">
        <x:v>13</x:v>
      </x:c>
      <x:c r="E73" s="15" t="n">
        <x:v>20</x:v>
      </x:c>
      <x:c r="F73" s="15" t="n">
        <x:v>19</x:v>
      </x:c>
      <x:c r="G73" s="15" t="n">
        <x:v>19</x:v>
      </x:c>
      <x:c r="H73" s="15" t="n">
        <x:v>71</x:v>
      </x:c>
      <x:c r="I73" s="16" t="str">
        <x:v>보통</x:v>
      </x:c>
      <x:c r="J73" s="13" t="str">
        <x:v>Y</x:v>
      </x:c>
      <x:c r="K73" s="13" t="str">
        <x:v>총점이 80점 미만</x:v>
      </x:c>
      <x:c r="L73" s="13" t="str">
        <x:v>09_광산안전기술기준_제10차개정_2024-12-19.txt,09_광산안전기술기준_제10차개정_2024-12-19.txt,13_2023_새로운_위험성평가_안내서.txt,11_안전보건관리체계_구축_가이드북.txt,08_광산안전법_시행규칙.txt</x:v>
      </x:c>
      <x:c r="M73" s="13" t="str">
        <x:v>chunk_00336,chunk_00337,chunk_00479,chunk_00389,chunk_00287</x:v>
      </x:c>
      <x:c r="N73" s="13" t="str">
        <x:v>1차 자동 평가용 답변 초안
질문: 경사로를 이용하는 운반장비에 적재물이 불안정할 때 어떤 조치를 해야 하나?
근거 요약:
- 09_광산안전기술기준_제10차개정_2024-12-19.txt | chunk_id chunk_00336 | 등)은 별도의 적치장에 적치할 것 2. 제1호의 광업폐기물은 운반시 날림 및 유출을 방지할 것 3. 기름류ㆍ축전차축전지 등의 유해한 광업폐기물은 지하로 침투하지 않도록 보관시설을 사용할 것 4. 유해한 광업폐기물은 갱내에 매립처분하지 말 것. 다만, 사무소장이 인정하는 경우 유해한 광업폐기물을 무해화했거나 무해한 광업폐기물은 갱내충전 또는 타 지역에 매립할 수 있으며, 기타 용도로 재활용할...
- 09_광산안전기술기준_제10차개정_2024-12-19.txt | chunk_id chunk_00337 | 음 각 호의 시설 중 그 광해 방지에 필요한 정화시설을 설치하여야 한다. 1. 물리적 처리시설 2. 기계식 및 물리화학적 처리시설 3. 자연정화 처리시설제194조(갱수 및 폐수의 배출기준) 갱수 및 폐수의 배출기준에 관하여 「물환경보전법령」 및 「해양환경관리법령」에서 정하는 기준외의 사항에 대하여는 산업통상자원부장관이 별도로 정하는 기준이하로 하여야 한다.제195조(갱수ㆍ폐수의 관리 및 준수...
- 13_2023_새로운_위험성평가_안내서.txt | chunk_id chunk_00479 | 위험성 개선 예정일 개선 완료일 담당자 ①관련근거 (선택사항)위험분류 위험발생 상황 및 결과 가능성 (빈도) 중대성 (강도) 위험성 원자재 보관 기계적 요인 원자재 창고 출입구에 적재물이 쌓여있어 지게차 운행 중 보행 중인 근로자와 충돌할 위험 1. 창고 출입구에 지게차 통행 시 경보음 발생 4 4 16 1. 창고 출입구 주변 적재물 이동하여 시야확보 2. 출입구에 반사경 설치 3. 지게차와...
현장 조치 기준: 작업 전 위험요인 확인, 작업중지·대피 기준, 보고·기록 절차, 보호구·환기·가스측정 여부 확인</x:v>
      </x:c>
      <x:c r="O73" s="13" t="str">
        <x:v>1차 자동 평가(rule-based)</x:v>
      </x:c>
    </x:row>
    <x:row r="74" ht="58" customHeight="1">
      <x:c r="A74" s="13" t="str">
        <x:v>Q073</x:v>
      </x:c>
      <x:c r="B74" s="13" t="str">
        <x:v>위험성평가/작업허가/기록관리</x:v>
      </x:c>
      <x:c r="C74" s="13" t="str">
        <x:v>작업허가가 필요한 공정에서 관리자가 작업 전 확인해야 할 핵심 사항은 무엇인가?</x:v>
      </x:c>
      <x:c r="D74" s="15" t="n">
        <x:v>18</x:v>
      </x:c>
      <x:c r="E74" s="15" t="n">
        <x:v>20</x:v>
      </x:c>
      <x:c r="F74" s="15" t="n">
        <x:v>19</x:v>
      </x:c>
      <x:c r="G74" s="15" t="n">
        <x:v>19</x:v>
      </x:c>
      <x:c r="H74" s="15" t="n">
        <x:v>76</x:v>
      </x:c>
      <x:c r="I74" s="16" t="str">
        <x:v>보통</x:v>
      </x:c>
      <x:c r="J74" s="13" t="str">
        <x:v>Y</x:v>
      </x:c>
      <x:c r="K74" s="13" t="str">
        <x:v>총점이 80점 미만</x:v>
      </x:c>
      <x:c r="L74" s="13" t="str">
        <x:v>03_산업안전보건법.txt,03_산업안전보건법.txt,03_산업안전보건법.txt,03_산업안전보건법.txt,03_산업안전보건법.txt</x:v>
      </x:c>
      <x:c r="M74" s="13" t="str">
        <x:v>chunk_00031,chunk_00047,chunk_00056,chunk_00025,chunk_00043</x:v>
      </x:c>
      <x:c r="N74" s="13" t="str">
        <x:v>1차 자동 평가용 답변 초안
질문: 작업허가가 필요한 공정에서 관리자가 작업 전 확인해야 할 핵심 사항은 무엇인가?
근거 요약:
- 03_산업안전보건법.txt | chunk_id chunk_00031 | 정하는 인력 ㆍ시설 및 장비 등의 요건을 갖추어 고용노동부장관에게 등록하여야 한다. 등록한 사항 중 대통령령으로 정하는 중 요한 사항을 변경할 때에도 또한 같다. ② 고용노동부장관은 제1항에 따라 등록한 자(이하 “안전보건교육기관”이라 한다)에 대하여 평가하고 그 결과를 공 개할 수 있다. 이 경우 평가의 기준ㆍ방법 및 결과의 공개에 필요한 사항은 고용노동부령으로 정한다. ③ 제1항에 따른...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- 03_산업안전보건법.txt | chunk_id chunk_00056 | 지정받으려는 자는 대통령령으로 정하는 인력ㆍ시설 및 장비 등의 요건을 갖추 어 고용노동부장관에게 신청하여야 한다. ③ 고용노동부장관은 제1항에 따라 지정받은 안전검사기관(이하 “안전검사기관”이라 한다)에 대하여 평가하고 그 결과를 공개할 수 있다. 이 경우 평가의 기준ㆍ방법 및 결과의 공개에 필요한 사항은 고용노동부령으로 정한다. ④ 안전검사기관의 지정 신청 절차, 그 밖에 필요한 사항은 고...
현장 조치 기준: 작업 전 위험요인 확인, 작업중지·대피 기준, 보고·기록 절차, 보호구·환기·가스측정 여부 확인</x:v>
      </x:c>
      <x:c r="O74" s="13" t="str">
        <x:v>1차 자동 평가(rule-based)</x:v>
      </x:c>
    </x:row>
    <x:row r="75" ht="58" customHeight="1">
      <x:c r="A75" s="13" t="str">
        <x:v>Q074</x:v>
      </x:c>
      <x:c r="B75" s="13" t="str">
        <x:v>위험성평가/작업허가/기록관리</x:v>
      </x:c>
      <x:c r="C75" s="13" t="str">
        <x:v>위험성평가 결과를 작업 전 현장 작업자에게 공유하지 않으면 생길 수 있는 문제는 무엇인가?</x:v>
      </x:c>
      <x:c r="D75" s="15" t="n">
        <x:v>18</x:v>
      </x:c>
      <x:c r="E75" s="15" t="n">
        <x:v>20</x:v>
      </x:c>
      <x:c r="F75" s="15" t="n">
        <x:v>19</x:v>
      </x:c>
      <x:c r="G75" s="15" t="n">
        <x:v>19</x:v>
      </x:c>
      <x:c r="H75" s="15" t="n">
        <x:v>76</x:v>
      </x:c>
      <x:c r="I75" s="16" t="str">
        <x:v>보통</x:v>
      </x:c>
      <x:c r="J75" s="13" t="str">
        <x:v>Y</x:v>
      </x:c>
      <x:c r="K75" s="13" t="str">
        <x:v>총점이 80점 미만</x:v>
      </x:c>
      <x:c r="L75" s="13" t="str">
        <x:v>13_2023_새로운_위험성평가_안내서.txt,13_2023_새로운_위험성평가_안내서.txt,13_2023_새로운_위험성평가_안내서.txt,13_2023_새로운_위험성평가_안내서.txt,13_2023_새로운_위험성평가_안내서.txt</x:v>
      </x:c>
      <x:c r="M75" s="13" t="str">
        <x:v>chunk_00455,chunk_00481,chunk_00454,chunk_00441,chunk_00483</x:v>
      </x:c>
      <x:c r="N75" s="13" t="str">
        <x:v>1차 자동 평가용 답변 초안
질문: 위험성평가 결과를 작업 전 현장 작업자에게 공유하지 않으면 생길 수 있는 문제는 무엇인가?
근거 요약:
- 13_2023_새로운_위험성평가_안내서.txt | chunk_id chunk_00455 | 할지, 그 대책을 어떻게 실행할 것인지에 집중하는 것이 중요합니다. 평가 절차와 관련된 사항에 대해 긴 시간 논의만 하다가 유해 · 위험요인을 찾아내고 위험성을 감소시켜 산업재해를 예방하는 위험성평가의 목적을 잃는 일은 피해야 합니다. 핵심 포인트 2 “근로자가 참여하고 공유합니다” ===== PAGE 40 ===== 25Ⅰ- 05. 위험성평가의 핵심 포인트 ===== PAGE 41 ====...
- 13_2023_새로운_위험성평가_안내서.txt | chunk_id chunk_00481 |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- 13_2023_새로운_위험성평가_안내서.txt | chunk_id chunk_00454 | 든 근로자가 알아야 합니다. 기존 위험성평가 결과 모두 제거되지 않고 남은 위험이 있는 경우에만 근로자에게 알리도록 되어 있었습니다. 개선 위험성평가 결과의 전반을 근로자와 공유하고, 무엇보다 중요한 유해·위험요인은 작업 전 안전점검회의(TBM)를 통해 상시적으로 근로자들에게 알리도록 합니다. 6. 이 밖에도 ‘아차사고’를 일으킨 유해·위험요인은 위험성평가를 실시하여야 합니다. * [아차사고...
현장 조치 기준: 작업 전 위험요인 확인, 작업중지·대피 기준, 보고·기록 절차, 보호구·환기·가스측정 여부 확인</x:v>
      </x:c>
      <x:c r="O75" s="13" t="str">
        <x:v>1차 자동 평가(rule-based)</x:v>
      </x:c>
    </x:row>
    <x:row r="76" ht="58" customHeight="1">
      <x:c r="A76" s="13" t="str">
        <x:v>Q075</x:v>
      </x:c>
      <x:c r="B76" s="13" t="str">
        <x:v>위험성평가/작업허가/기록관리</x:v>
      </x:c>
      <x:c r="C76" s="13" t="str">
        <x:v>작업 절차가 바뀌었을 때 기존 기록을 그대로 쓰는 것이 적절한지 어떤 점을 확인해야 하나?</x:v>
      </x:c>
      <x:c r="D76" s="15" t="n">
        <x:v>16</x:v>
      </x:c>
      <x:c r="E76" s="15" t="n">
        <x:v>16</x:v>
      </x:c>
      <x:c r="F76" s="15" t="n">
        <x:v>19</x:v>
      </x:c>
      <x:c r="G76" s="15" t="n">
        <x:v>19</x:v>
      </x:c>
      <x:c r="H76" s="15" t="n">
        <x:v>70</x:v>
      </x:c>
      <x:c r="I76" s="16" t="str">
        <x:v>보통</x:v>
      </x:c>
      <x:c r="J76" s="13" t="str">
        <x:v>Y</x:v>
      </x:c>
      <x:c r="K76" s="13" t="str">
        <x:v>총점이 80점 미만; 예상 키워드 매칭 약함</x:v>
      </x:c>
      <x:c r="L76" s="13" t="str">
        <x:v>05_산업안전보건법_시행규칙.txt,13_2023_새로운_위험성평가_안내서.txt,13_2023_새로운_위험성평가_안내서.txt,13_2023_새로운_위험성평가_안내서.txt,13_2023_새로운_위험성평가_안내서.txt</x:v>
      </x:c>
      <x:c r="M76" s="13" t="str">
        <x:v>chunk_00232,chunk_00440,chunk_00475,chunk_00476,chunk_00481</x:v>
      </x:c>
      <x:c r="N76" s="13" t="str">
        <x:v>1차 자동 평가용 답변 초안
질문: 작업 절차가 바뀌었을 때 기존 기록을 그대로 쓰는 것이 적절한지 어떤 점을 확인해야 하나?
근거 요약:
- 05_산업안전보건법_시행규칙.txt | chunk_id chunk_00232 |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- 13_2023_새로운_위험성평가_안내서.txt | chunk_id chunk_00440 | 의 근로자를 참여시켜야 한다. ③ 사업주는 제1항에 따른 평가의 결과와 조치사항을 고용노동부령으로 정하는 바에 따라 기록하여 보존하여야 한다. ④ 제1항에 따른 평가의 방법, 절차 및 시기, 그 밖에 필요한 사항은 고용노동부장관이 정하여 고시한다. &lt;산업안전보건법 시행규칙&gt; 제  37조(위험성평가 실시내용 및 결과의 기록ㆍ보존) ① 사업주가 법 제36조제3항에 따라 위 험성평가의 결과와 조치...
- 13_2023_새로운_위험성평가_안내서.txt | chunk_id chunk_00475 |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
현장 조치 기준: 작업 전 위험요인 확인, 작업중지·대피 기준, 보고·기록 절차, 보호구·환기·가스측정 여부 확인</x:v>
      </x:c>
      <x:c r="O76" s="13" t="str">
        <x:v>1차 자동 평가(rule-based)</x:v>
      </x:c>
    </x:row>
    <x:row r="77" ht="58" customHeight="1">
      <x:c r="A77" s="13" t="str">
        <x:v>Q076</x:v>
      </x:c>
      <x:c r="B77" s="13" t="str">
        <x:v>사고보고/응급조치</x:v>
      </x:c>
      <x:c r="C77" s="13" t="str">
        <x:v>사고 발생 직후 현장 관리자가 가장 먼저 해야 할 행동은 무엇인가?</x:v>
      </x:c>
      <x:c r="D77" s="15" t="n">
        <x:v>8</x:v>
      </x:c>
      <x:c r="E77" s="15" t="n">
        <x:v>16</x:v>
      </x:c>
      <x:c r="F77" s="15" t="n">
        <x:v>19</x:v>
      </x:c>
      <x:c r="G77" s="15" t="n">
        <x:v>19</x:v>
      </x:c>
      <x:c r="H77" s="15" t="n">
        <x:v>62</x:v>
      </x:c>
      <x:c r="I77" s="16" t="str">
        <x:v>보완 필요</x:v>
      </x:c>
      <x:c r="J77" s="13" t="str">
        <x:v>Y</x:v>
      </x:c>
      <x:c r="K77" s="13" t="str">
        <x:v>총점이 80점 미만; 예상 키워드 매칭 약함; 상위 근거 연관성 약함</x:v>
      </x:c>
      <x:c r="L77" s="13" t="str">
        <x:v>04_산업안전보건법_시행령.txt,11_안전보건관리체계_구축_가이드북.txt,04_산업안전보건법_시행령.txt,11_안전보건관리체계_구축_가이드북.txt,09_광산안전기술기준_제10차개정_2024-12-19.txt</x:v>
      </x:c>
      <x:c r="M77" s="13" t="str">
        <x:v>chunk_00108,chunk_00374,chunk_00124,chunk_00363,chunk_00340</x:v>
      </x:c>
      <x:c r="N77" s="13" t="str">
        <x:v>1차 자동 평가용 답변 초안
질문: 사고 발생 직후 현장 관리자가 가장 먼저 해야 할 행동은 무엇인가?
근거 요약:
- 04_산업안전보건법_시행령.txt | chunk_id chunk_00108 | 지도 및 조치 건의 6. 산업재해 발생의 원인 조사ㆍ분석 및 재발 방지를 위한 기술적 보좌 및 지도ㆍ조언 7. 산업재해에 관한 통계의 유지ㆍ관리ㆍ분석을 위한 보좌 및 지도ㆍ조언 8. 법 또는 법에 따른 명령으로 정한 안전에 관한 사항의 이행에 관한 보좌 및 지도ㆍ조언 9. 업무 수행 내용의 기록ㆍ유지 10. 그 밖에 안전에 관한 사항으로서 고용노동부장관이 정하는 사항 ② 사업주가 안전관리자를...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- 04_산업안전보건법_시행령.txt | chunk_id chunk_00124 |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현장 조치 기준: 작업 전 위험요인 확인, 작업중지·대피 기준, 보고·기록 절차, 보호구·환기·가스측정 여부 확인</x:v>
      </x:c>
      <x:c r="O77" s="13" t="str">
        <x:v>1차 자동 평가(rule-based)</x:v>
      </x:c>
    </x:row>
    <x:row r="78" ht="58" customHeight="1">
      <x:c r="A78" s="13" t="str">
        <x:v>Q077</x:v>
      </x:c>
      <x:c r="B78" s="13" t="str">
        <x:v>사고보고/응급조치</x:v>
      </x:c>
      <x:c r="C78" s="13" t="str">
        <x:v>사고 현장에 추가 작업자가 접근할 때 관리자가 막아야 할 이유는 무엇인가?</x:v>
      </x:c>
      <x:c r="D78" s="15" t="n">
        <x:v>8</x:v>
      </x:c>
      <x:c r="E78" s="15" t="n">
        <x:v>16</x:v>
      </x:c>
      <x:c r="F78" s="15" t="n">
        <x:v>19</x:v>
      </x:c>
      <x:c r="G78" s="15" t="n">
        <x:v>19</x:v>
      </x:c>
      <x:c r="H78" s="15" t="n">
        <x:v>62</x:v>
      </x:c>
      <x:c r="I78" s="16" t="str">
        <x:v>보완 필요</x:v>
      </x:c>
      <x:c r="J78" s="13" t="str">
        <x:v>Y</x:v>
      </x:c>
      <x:c r="K78" s="13" t="str">
        <x:v>총점이 80점 미만; 예상 키워드 매칭 약함; 상위 근거 연관성 약함</x:v>
      </x:c>
      <x:c r="L78" s="13" t="str">
        <x:v>04_산업안전보건법_시행령.txt,04_산업안전보건법_시행령.txt,03_산업안전보건법.txt,11_안전보건관리체계_구축_가이드북.txt,11_안전보건관리체계_구축_가이드북.txt</x:v>
      </x:c>
      <x:c r="M78" s="13" t="str">
        <x:v>chunk_00107,chunk_00108,chunk_00039,chunk_00398,chunk_00374</x:v>
      </x:c>
      <x:c r="N78" s="13" t="str">
        <x:v>1차 자동 평가용 답변 초안
질문: 사고 현장에 추가 작업자가 접근할 때 관리자가 막아야 할 이유는 무엇인가?
근거 요약: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- 04_산업안전보건법_시행령.txt | chunk_id chunk_00108 | 지도 및 조치 건의 6. 산업재해 발생의 원인 조사ㆍ분석 및 재발 방지를 위한 기술적 보좌 및 지도ㆍ조언 7. 산업재해에 관한 통계의 유지ㆍ관리ㆍ분석을 위한 보좌 및 지도ㆍ조언 8. 법 또는 법에 따른 명령으로 정한 안전에 관한 사항의 이행에 관한 보좌 및 지도ㆍ조언 9. 업무 수행 내용의 기록ㆍ유지 10. 그 밖에 안전에 관한 사항으로서 고용노동부장관이 정하는 사항 ② 사업주가 안전관리자를...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현장 조치 기준: 작업 전 위험요인 확인, 작업중지·대피 기준, 보고·기록 절차, 보호구·환기·가스측정 여부 확인</x:v>
      </x:c>
      <x:c r="O78" s="13" t="str">
        <x:v>1차 자동 평가(rule-based)</x:v>
      </x:c>
    </x:row>
    <x:row r="79" ht="58" customHeight="1">
      <x:c r="A79" s="13" t="str">
        <x:v>Q078</x:v>
      </x:c>
      <x:c r="B79" s="13" t="str">
        <x:v>사고보고/응급조치</x:v>
      </x:c>
      <x:c r="C79" s="13" t="str">
        <x:v>사고 후 응급처치와 함께 확보해야 할 자료는 무엇인가?</x:v>
      </x:c>
      <x:c r="D79" s="15" t="n">
        <x:v>15</x:v>
      </x:c>
      <x:c r="E79" s="15" t="n">
        <x:v>16</x:v>
      </x:c>
      <x:c r="F79" s="15" t="n">
        <x:v>19</x:v>
      </x:c>
      <x:c r="G79" s="15" t="n">
        <x:v>19</x:v>
      </x:c>
      <x:c r="H79" s="15" t="n">
        <x:v>69</x:v>
      </x:c>
      <x:c r="I79" s="16" t="str">
        <x:v>보완 필요</x:v>
      </x:c>
      <x:c r="J79" s="13" t="str">
        <x:v>Y</x:v>
      </x:c>
      <x:c r="K79" s="13" t="str">
        <x:v>총점이 80점 미만; 예상 키워드 매칭 약함</x:v>
      </x:c>
      <x:c r="L79" s="13" t="str">
        <x:v>13_2023_새로운_위험성평가_안내서.txt,11_안전보건관리체계_구축_가이드북.txt,11_안전보건관리체계_구축_가이드북.txt,10_광산안전업무_처리지침_2025-35_latest.txt,11_안전보건관리체계_구축_가이드북.txt</x:v>
      </x:c>
      <x:c r="M79" s="13" t="str">
        <x:v>chunk_00485,chunk_00379,chunk_00385,chunk_00358,chunk_00397</x:v>
      </x:c>
      <x:c r="N79" s="13" t="str">
        <x:v>1차 자동 평가용 답변 초안
질문: 사고 후 응급처치와 함께 확보해야 할 자료는 무엇인가?
근거 요약:
- 13_2023_새로운_위험성평가_안내서.txt | chunk_id chunk_00485 |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
- 11_안전보건관리체계_구축_가이드북.txt | chunk_id chunk_00379 | 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
- 11_안전보건관리체계_구축_가이드북.txt | chunk_id chunk_00385 |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현장 조치 기준: 작업 전 위험요인 확인, 작업중지·대피 기준, 보고·기록 절차, 보호구·환기·가스측정 여부 확인</x:v>
      </x:c>
      <x:c r="O79" s="13" t="str">
        <x:v>1차 자동 평가(rule-based)</x:v>
      </x:c>
    </x:row>
    <x:row r="80" ht="58" customHeight="1">
      <x:c r="A80" s="13" t="str">
        <x:v>Q079</x:v>
      </x:c>
      <x:c r="B80" s="13" t="str">
        <x:v>복합위험/중대재해 대응</x:v>
      </x:c>
      <x:c r="C80" s="13" t="str">
        <x:v>여러 위험요인이 동시에 있는 작업에서 관리자가 우선순위를 어떻게 정해야 하나?</x:v>
      </x:c>
      <x:c r="D80" s="15" t="n">
        <x:v>13</x:v>
      </x:c>
      <x:c r="E80" s="15" t="n">
        <x:v>16</x:v>
      </x:c>
      <x:c r="F80" s="15" t="n">
        <x:v>19</x:v>
      </x:c>
      <x:c r="G80" s="15" t="n">
        <x:v>19</x:v>
      </x:c>
      <x:c r="H80" s="15" t="n">
        <x:v>67</x:v>
      </x:c>
      <x:c r="I80" s="16" t="str">
        <x:v>보완 필요</x:v>
      </x:c>
      <x:c r="J80" s="13" t="str">
        <x:v>Y</x:v>
      </x:c>
      <x:c r="K80" s="13" t="str">
        <x:v>총점이 80점 미만; 예상 키워드 매칭 약함</x:v>
      </x:c>
      <x:c r="L80" s="13" t="str">
        <x:v>11_안전보건관리체계_구축_가이드북.txt,13_2023_새로운_위험성평가_안내서.txt,11_안전보건관리체계_구축_가이드북.txt,13_2023_새로운_위험성평가_안내서.txt,13_2023_새로운_위험성평가_안내서.txt</x:v>
      </x:c>
      <x:c r="M80" s="13" t="str">
        <x:v>chunk_00374,chunk_00464,chunk_00363,chunk_00466,chunk_00463</x:v>
      </x:c>
      <x:c r="N80" s="13" t="str">
        <x:v>1차 자동 평가용 답변 초안
질문: 여러 위험요인이 동시에 있는 작업에서 관리자가 우선순위를 어떻게 정해야 하나?
근거 요약: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- 13_2023_새로운_위험성평가_안내서.txt | chunk_id chunk_00464 | 을 관리하고 내용과 결과를 분석합니다. TIP 안전보건관리자 선임의무가 없거나 위탁관리하는 사업장은? 안전관리자 등의 업무를 외부 전문기관에 위탁을 주거나, 안전관리자 등의 선임의무가   없는 중 · 소규모 사업장의 경우에는 사업주가 관리감독자나 현장관리자 중 위험성평가의   실시에 관하여 보좌 · 지도 · 조언할 사람을 지정하는 등 사업장 내 위험성평가를 위한   체제를 구축하여야 합니다....
- 11_안전보건관리체계_구축_가이드북.txt | chunk_id chunk_00363 | 4조] ① 사업주 또는 경영책임자등은 사업주나 법인 또는 기관이 실질적으로 지배·운영· 관리하는 사업 또는 사업장에서 종사자의 안전·보건상 유해 또는 위험을 방지 하기 위하여 그 사업 또는 사업장의 특성 및 규모 등을 고려하여 다음 각 호에 따른 조치를 하여야 한다. 1. 재해예방에 필요한 인력 및 예산 등 안전보건관리체계의 구축 및 그 이행에 관한 조치 2~4. 생략 ===== PAGE 8...
현장 조치 기준: 작업 전 위험요인 확인, 작업중지·대피 기준, 보고·기록 절차, 보호구·환기·가스측정 여부 확인</x:v>
      </x:c>
      <x:c r="O80" s="13" t="str">
        <x:v>1차 자동 평가(rule-based)</x:v>
      </x:c>
    </x:row>
    <x:row r="81" ht="58" customHeight="1">
      <x:c r="A81" s="13" t="str">
        <x:v>Q080</x:v>
      </x:c>
      <x:c r="B81" s="13" t="str">
        <x:v>복합위험/중대재해 대응</x:v>
      </x:c>
      <x:c r="C81" s="13" t="str">
        <x:v>중대재해 의심 상황에서 관리자가 남겨야 할 초기 기록은 무엇인가?</x:v>
      </x:c>
      <x:c r="D81" s="15" t="n">
        <x:v>13</x:v>
      </x:c>
      <x:c r="E81" s="15" t="n">
        <x:v>16</x:v>
      </x:c>
      <x:c r="F81" s="15" t="n">
        <x:v>19</x:v>
      </x:c>
      <x:c r="G81" s="15" t="n">
        <x:v>19</x:v>
      </x:c>
      <x:c r="H81" s="15" t="n">
        <x:v>67</x:v>
      </x:c>
      <x:c r="I81" s="16" t="str">
        <x:v>보완 필요</x:v>
      </x:c>
      <x:c r="J81" s="13" t="str">
        <x:v>Y</x:v>
      </x:c>
      <x:c r="K81" s="13" t="str">
        <x:v>총점이 80점 미만; 예상 키워드 매칭 약함</x:v>
      </x:c>
      <x:c r="L81" s="13" t="str">
        <x:v>11_안전보건관리체계_구축_가이드북.txt,04_산업안전보건법_시행령.txt,04_산업안전보건법_시행령.txt,11_안전보건관리체계_구축_가이드북.txt,03_산업안전보건법.txt</x:v>
      </x:c>
      <x:c r="M81" s="13" t="str">
        <x:v>chunk_00385,chunk_00108,chunk_00124,chunk_00363,chunk_00040</x:v>
      </x:c>
      <x:c r="N81" s="13" t="str">
        <x:v>1차 자동 평가용 답변 초안
질문: 중대재해 의심 상황에서 관리자가 남겨야 할 초기 기록은 무엇인가?
근거 요약:
- 11_안전보건관리체계_구축_가이드북.txt | chunk_id chunk_00385 |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- 04_산업안전보건법_시행령.txt | chunk_id chunk_00108 | 지도 및 조치 건의 6. 산업재해 발생의 원인 조사ㆍ분석 및 재발 방지를 위한 기술적 보좌 및 지도ㆍ조언 7. 산업재해에 관한 통계의 유지ㆍ관리ㆍ분석을 위한 보좌 및 지도ㆍ조언 8. 법 또는 법에 따른 명령으로 정한 안전에 관한 사항의 이행에 관한 보좌 및 지도ㆍ조언 9. 업무 수행 내용의 기록ㆍ유지 10. 그 밖에 안전에 관한 사항으로서 고용노동부장관이 정하는 사항 ② 사업주가 안전관리자를...
- 04_산업안전보건법_시행령.txt | chunk_id chunk_00124 |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현장 조치 기준: 작업 전 위험요인 확인, 작업중지·대피 기준, 보고·기록 절차, 보호구·환기·가스측정 여부 확인</x:v>
      </x:c>
      <x:c r="O81" s="13" t="str">
        <x:v>1차 자동 평가(rule-based)</x:v>
      </x:c>
    </x:row>
    <x:row r="82" ht="58" customHeight="1">
      <x:c r="A82" s="13" t="str">
        <x:v>Q081</x:v>
      </x:c>
      <x:c r="B82" s="13" t="str">
        <x:v>복합위험/중대재해 대응</x:v>
      </x:c>
      <x:c r="C82" s="13" t="str">
        <x:v>현장에 여러 위험요인이 중첩될 때 작업 재개를 결정하기 전에 무엇을 확인해야 하나?</x:v>
      </x:c>
      <x:c r="D82" s="15" t="n">
        <x:v>18</x:v>
      </x:c>
      <x:c r="E82" s="15" t="n">
        <x:v>16</x:v>
      </x:c>
      <x:c r="F82" s="15" t="n">
        <x:v>19</x:v>
      </x:c>
      <x:c r="G82" s="15" t="n">
        <x:v>19</x:v>
      </x:c>
      <x:c r="H82" s="15" t="n">
        <x:v>72</x:v>
      </x:c>
      <x:c r="I82" s="16" t="str">
        <x:v>보통</x:v>
      </x:c>
      <x:c r="J82" s="13" t="str">
        <x:v>Y</x:v>
      </x:c>
      <x:c r="K82" s="13" t="str">
        <x:v>총점이 80점 미만; 예상 키워드 매칭 약함</x:v>
      </x:c>
      <x:c r="L82" s="13" t="str">
        <x:v>13_2023_새로운_위험성평가_안내서.txt,13_2023_새로운_위험성평가_안내서.txt,13_2023_새로운_위험성평가_안내서.txt,05_산업안전보건법_시행규칙.txt,13_2023_새로운_위험성평가_안내서.txt</x:v>
      </x:c>
      <x:c r="M82" s="13" t="str">
        <x:v>chunk_00472,chunk_00487,chunk_00475,chunk_00168,chunk_00447</x:v>
      </x:c>
      <x:c r="N82" s="13" t="str">
        <x:v>1차 자동 평가용 답변 초안
질문: 현장에 여러 위험요인이 중첩될 때 작업 재개를 결정하기 전에 무엇을 확인해야 하나?
근거 요약:
- 13_2023_새로운_위험성평가_안내서.txt | chunk_id chunk_00472 | 고 그 중 ‘하’의 위험도만 허용 가능한 수준으로 보기로 사전에 결정하였다면, - 어떤 기계를 작동할 때의 위험성이 ‘상’으로 분류되었을 때 허용 불가능한 위험성의 수준이므로 신속히 위험성을 ‘하’로 낮추기 위한 위험성 감소대책을 수립 · 시행하 여야 합니다. 번호 유해·위험요인 파악 (위험한 상황과 결과) 위험성의 수준 (상,중,하) 개선 대책 개선 예정일 개선 완료일 담당자 1 비계의 작...
- 13_2023_새로운_위험성평가_안내서.txt | chunk_id chunk_00487 | (사업개시일·실착공일)로부터 1개월 이내에 착수하여야 합니다. 최초평가 시에는 사업장의 전체 공정·작업별 유해·위험요인을 빠짐없이 찾아내어 위험성평가를 실시합니다. ● 매월 1회 이상 작업을 수행하는 근로자들을 포함시켜 사업장 순회점검을 실시합니다. 평소에 근로자 상시 제안제도 및 아차사고를 발굴하고, 이를 통해 새로 생기거나 위험성의 수준이 바뀐 유해 · 위험요인을 찾아내어 이에 대한 위험...
- 13_2023_새로운_위험성평가_안내서.txt | chunk_id chunk_00475 |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
현장 조치 기준: 작업 전 위험요인 확인, 작업중지·대피 기준, 보고·기록 절차, 보호구·환기·가스측정 여부 확인</x:v>
      </x:c>
      <x:c r="O82" s="13" t="str">
        <x:v>1차 자동 평가(rule-based)</x:v>
      </x:c>
    </x:row>
    <x:row r="83" ht="58" customHeight="1">
      <x:c r="A83" s="13" t="str">
        <x:v>Q082</x:v>
      </x:c>
      <x:c r="B83" s="13" t="str">
        <x:v>전기안전</x:v>
      </x:c>
      <x:c r="C83" s="13" t="str">
        <x:v>전기차단기 앞에 작업자가 서 있으면 관리자가 먼저 해야 할 조치는 무엇인가?</x:v>
      </x:c>
      <x:c r="D83" s="15" t="n">
        <x:v>18</x:v>
      </x:c>
      <x:c r="E83" s="15" t="n">
        <x:v>20</x:v>
      </x:c>
      <x:c r="F83" s="15" t="n">
        <x:v>19</x:v>
      </x:c>
      <x:c r="G83" s="15" t="n">
        <x:v>19</x:v>
      </x:c>
      <x:c r="H83" s="15" t="n">
        <x:v>76</x:v>
      </x:c>
      <x:c r="I83" s="16" t="str">
        <x:v>보통</x:v>
      </x:c>
      <x:c r="J83" s="13" t="str">
        <x:v>Y</x:v>
      </x:c>
      <x:c r="K83" s="13" t="str">
        <x:v>총점이 80점 미만</x:v>
      </x:c>
      <x:c r="L83" s="13" t="str">
        <x:v>03_산업안전보건법.txt,03_산업안전보건법.txt,09_광산안전기술기준_제10차개정_2024-12-19.txt,04_산업안전보건법_시행령.txt,11_안전보건관리체계_구축_가이드북.txt</x:v>
      </x:c>
      <x:c r="M83" s="13" t="str">
        <x:v>chunk_00047,chunk_00039,chunk_00309,chunk_00107,chunk_00374</x:v>
      </x:c>
      <x:c r="N83" s="13" t="str">
        <x:v>1차 자동 평가용 답변 초안
질문: 전기차단기 앞에 작업자가 서 있으면 관리자가 먼저 해야 할 조치는 무엇인가?
근거 요약: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- 09_광산안전기술기준_제10차개정_2024-12-19.txt | chunk_id chunk_00309 | 하여야 한다. 1. 충전전로를 정전시키는 경우에는 제62조에 따른 조치를 하여야 한다. 2. 충전전로를 방호, 차폐하거나 절연 등의 조치를 하는 경우에는 작업자의 신체가 전로와 직접 접촉하거나 전도재료, 공구 또는 기기를 통하여 간접 접촉되지 않도록 하여야 한다. 3. 충전전로를 취급하는 작업자에게 그 작업에 적합한 절연용 보호구를 착용하여야 한다. 4. 충전전로에 근접한 장소에서 전기작업을...
현장 조치 기준: 작업 전 위험요인 확인, 작업중지·대피 기준, 보고·기록 절차, 보호구·환기·가스측정 여부 확인</x:v>
      </x:c>
      <x:c r="O83" s="13" t="str">
        <x:v>1차 자동 평가(rule-based)</x:v>
      </x:c>
    </x:row>
    <x:row r="84" ht="58" customHeight="1">
      <x:c r="A84" s="13" t="str">
        <x:v>Q083</x:v>
      </x:c>
      <x:c r="B84" s="13" t="str">
        <x:v>전기안전</x:v>
      </x:c>
      <x:c r="C84" s="13" t="str">
        <x:v>전기 설비 점검 중 잠금표지가 사라졌을 때 관리자가 해야 할 행동은 무엇인가?</x:v>
      </x:c>
      <x:c r="D84" s="15" t="n">
        <x:v>18</x:v>
      </x:c>
      <x:c r="E84" s="15" t="n">
        <x:v>20</x:v>
      </x:c>
      <x:c r="F84" s="15" t="n">
        <x:v>19</x:v>
      </x:c>
      <x:c r="G84" s="15" t="n">
        <x:v>19</x:v>
      </x:c>
      <x:c r="H84" s="15" t="n">
        <x:v>76</x:v>
      </x:c>
      <x:c r="I84" s="16" t="str">
        <x:v>보통</x:v>
      </x:c>
      <x:c r="J84" s="13" t="str">
        <x:v>Y</x:v>
      </x:c>
      <x:c r="K84" s="13" t="str">
        <x:v>총점이 80점 미만</x:v>
      </x:c>
      <x:c r="L84" s="13" t="str">
        <x:v>09_광산안전기술기준_제10차개정_2024-12-19.txt,11_안전보건관리체계_구축_가이드북.txt,08_광산안전법_시행규칙.txt,09_광산안전기술기준_제10차개정_2024-12-19.txt,10_광산안전업무_처리지침_2025-35_latest.txt</x:v>
      </x:c>
      <x:c r="M84" s="13" t="str">
        <x:v>chunk_00313,chunk_00418,chunk_00286,chunk_00311,chunk_00346</x:v>
      </x:c>
      <x:c r="N84" s="13" t="str">
        <x:v>1차 자동 평가용 답변 초안
질문: 전기 설비 점검 중 잠금표지가 사라졌을 때 관리자가 해야 할 행동은 무엇인가?
근거 요약:
- 09_광산안전기술기준_제10차개정_2024-12-19.txt | chunk_id chunk_00313 |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- 11_안전보건관리체계_구축_가이드북.txt | chunk_id chunk_00418 |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- 08_광산안전법_시행규칙.txt | chunk_id chunk_00286 |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
현장 조치 기준: 작업 전 위험요인 확인, 작업중지·대피 기준, 보고·기록 절차, 보호구·환기·가스측정 여부 확인</x:v>
      </x:c>
      <x:c r="O84" s="13" t="str">
        <x:v>1차 자동 평가(rule-based)</x:v>
      </x:c>
    </x:row>
    <x:row r="85" ht="58" customHeight="1">
      <x:c r="A85" s="13" t="str">
        <x:v>Q084</x:v>
      </x:c>
      <x:c r="B85" s="13" t="str">
        <x:v>장비/운반/차량</x:v>
      </x:c>
      <x:c r="C85" s="13" t="str">
        <x:v>운반장비 후진 시 작업자와의 충돌 위험을 줄이려면 무엇을 확인해야 하나?</x:v>
      </x:c>
      <x:c r="D85" s="15" t="n">
        <x:v>16</x:v>
      </x:c>
      <x:c r="E85" s="15" t="n">
        <x:v>16</x:v>
      </x:c>
      <x:c r="F85" s="15" t="n">
        <x:v>19</x:v>
      </x:c>
      <x:c r="G85" s="15" t="n">
        <x:v>19</x:v>
      </x:c>
      <x:c r="H85" s="15" t="n">
        <x:v>70</x:v>
      </x:c>
      <x:c r="I85" s="16" t="str">
        <x:v>보통</x:v>
      </x:c>
      <x:c r="J85" s="13" t="str">
        <x:v>Y</x:v>
      </x:c>
      <x:c r="K85" s="13" t="str">
        <x:v>총점이 80점 미만; 예상 키워드 매칭 약함</x:v>
      </x:c>
      <x:c r="L85" s="13" t="str">
        <x:v>11_안전보건관리체계_구축_가이드북.txt,13_2023_새로운_위험성평가_안내서.txt,11_안전보건관리체계_구축_가이드북.txt,11_안전보건관리체계_구축_가이드북.txt,11_안전보건관리체계_구축_가이드북.txt</x:v>
      </x:c>
      <x:c r="M85" s="13" t="str">
        <x:v>chunk_00379,chunk_00479,chunk_00372,chunk_00380,chunk_00389</x:v>
      </x:c>
      <x:c r="N85" s="13" t="str">
        <x:v>1차 자동 평가용 답변 초안
질문: 운반장비 후진 시 작업자와의 충돌 위험을 줄이려면 무엇을 확인해야 하나?
근거 요약:
- 11_안전보건관리체계_구축_가이드북.txt | chunk_id chunk_00379 | 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
- 13_2023_새로운_위험성평가_안내서.txt | chunk_id chunk_00479 | 위험성 개선 예정일 개선 완료일 담당자 ①관련근거 (선택사항)위험분류 위험발생 상황 및 결과 가능성 (빈도) 중대성 (강도) 위험성 원자재 보관 기계적 요인 원자재 창고 출입구에 적재물이 쌓여있어 지게차 운행 중 보행 중인 근로자와 충돌할 위험 1. 창고 출입구에 지게차 통행 시 경보음 발생 4 4 16 1. 창고 출입구 주변 적재물 이동하여 시야확보 2. 출입구에 반사경 설치 3. 지게차와...
- 11_안전보건관리체계_구축_가이드북.txt | chunk_id chunk_00372 | 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현장 조치 기준: 작업 전 위험요인 확인, 작업중지·대피 기준, 보고·기록 절차, 보호구·환기·가스측정 여부 확인</x:v>
      </x:c>
      <x:c r="O85" s="13" t="str">
        <x:v>1차 자동 평가(rule-based)</x:v>
      </x:c>
    </x:row>
    <x:row r="86" ht="58" customHeight="1">
      <x:c r="A86" s="13" t="str">
        <x:v>Q085</x:v>
      </x:c>
      <x:c r="B86" s="13" t="str">
        <x:v>장비/운반/차량</x:v>
      </x:c>
      <x:c r="C86" s="13" t="str">
        <x:v>차량 통로에 장애물이 있으면 관리자가 어떻게 처리해야 하나?</x:v>
      </x:c>
      <x:c r="D86" s="15" t="n">
        <x:v>15</x:v>
      </x:c>
      <x:c r="E86" s="15" t="n">
        <x:v>20</x:v>
      </x:c>
      <x:c r="F86" s="15" t="n">
        <x:v>19</x:v>
      </x:c>
      <x:c r="G86" s="15" t="n">
        <x:v>19</x:v>
      </x:c>
      <x:c r="H86" s="15" t="n">
        <x:v>73</x:v>
      </x:c>
      <x:c r="I86" s="16" t="str">
        <x:v>보통</x:v>
      </x:c>
      <x:c r="J86" s="13" t="str">
        <x:v>Y</x:v>
      </x:c>
      <x:c r="K86" s="13" t="str">
        <x:v>총점이 80점 미만</x:v>
      </x:c>
      <x:c r="L86" s="13" t="str">
        <x:v>04_산업안전보건법_시행령.txt,09_광산안전기술기준_제10차개정_2024-12-19.txt,13_2023_새로운_위험성평가_안내서.txt,09_광산안전기술기준_제10차개정_2024-12-19.txt,09_광산안전기술기준_제10차개정_2024-12-19.txt</x:v>
      </x:c>
      <x:c r="M86" s="13" t="str">
        <x:v>chunk_00107,chunk_00340,chunk_00479,chunk_00323,chunk_00317</x:v>
      </x:c>
      <x:c r="N86" s="13" t="str">
        <x:v>1차 자동 평가용 답변 초안
질문: 차량 통로에 장애물이 있으면 관리자가 어떻게 처리해야 하나?
근거 요약: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- 09_광산안전기술기준_제10차개정_2024-12-19.txt | chunk_id chunk_00340 |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- 13_2023_새로운_위험성평가_안내서.txt | chunk_id chunk_00479 | 위험성 개선 예정일 개선 완료일 담당자 ①관련근거 (선택사항)위험분류 위험발생 상황 및 결과 가능성 (빈도) 중대성 (강도) 위험성 원자재 보관 기계적 요인 원자재 창고 출입구에 적재물이 쌓여있어 지게차 운행 중 보행 중인 근로자와 충돌할 위험 1. 창고 출입구에 지게차 통행 시 경보음 발생 4 4 16 1. 창고 출입구 주변 적재물 이동하여 시야확보 2. 출입구에 반사경 설치 3. 지게차와...
현장 조치 기준: 작업 전 위험요인 확인, 작업중지·대피 기준, 보고·기록 절차, 보호구·환기·가스측정 여부 확인</x:v>
      </x:c>
      <x:c r="O86" s="13" t="str">
        <x:v>1차 자동 평가(rule-based)</x:v>
      </x:c>
    </x:row>
    <x:row r="87" ht="58" customHeight="1">
      <x:c r="A87" s="13" t="str">
        <x:v>Q086</x:v>
      </x:c>
      <x:c r="B87" s="13" t="str">
        <x:v>위험성평가/작업허가/기록관리</x:v>
      </x:c>
      <x:c r="C87" s="13" t="str">
        <x:v>작업허가가 없는 작업을 발견했을 때 관리자가 우선해야 할 조치는 무엇인가?</x:v>
      </x:c>
      <x:c r="D87" s="15" t="n">
        <x:v>6</x:v>
      </x:c>
      <x:c r="E87" s="15" t="n">
        <x:v>16</x:v>
      </x:c>
      <x:c r="F87" s="15" t="n">
        <x:v>19</x:v>
      </x:c>
      <x:c r="G87" s="15" t="n">
        <x:v>19</x:v>
      </x:c>
      <x:c r="H87" s="15" t="n">
        <x:v>60</x:v>
      </x:c>
      <x:c r="I87" s="16" t="str">
        <x:v>보완 필요</x:v>
      </x:c>
      <x:c r="J87" s="13" t="str">
        <x:v>Y</x:v>
      </x:c>
      <x:c r="K87" s="13" t="str">
        <x:v>총점이 80점 미만; 예상 키워드 매칭 약함; 상위 근거 연관성 약함</x:v>
      </x:c>
      <x:c r="L87" s="13" t="str">
        <x:v>03_산업안전보건법.txt,04_산업안전보건법_시행령.txt,05_산업안전보건법_시행규칙.txt,03_산업안전보건법.txt,11_안전보건관리체계_구축_가이드북.txt</x:v>
      </x:c>
      <x:c r="M87" s="13" t="str">
        <x:v>chunk_00047,chunk_00107,chunk_00202,chunk_00039,chunk_00363</x:v>
      </x:c>
      <x:c r="N87" s="13" t="str">
        <x:v>1차 자동 평가용 답변 초안
질문: 작업허가가 없는 작업을 발견했을 때 관리자가 우선해야 할 조치는 무엇인가?
근거 요약: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- 05_산업안전보건법_시행규칙.txt | chunk_id chunk_00202 | 지방고용노동관서의 장은 제1항에 따른 수거ㆍ파기명령을 받은 자가 그 제품을 구성하는 부분품을 교체하여 결 함을 개선하는 등 안전인증기준의 부적합 사유를 해소할 수 있는 경우에는 해당 부분품에 대해서만 수거ㆍ파기할 것을 명령할 수 있다. ③ 제1항 및 제2항에 따라 수거ㆍ파기명령을 받은 자가 명령에 따른 필요한 조치를 이행하면 그 결과를 관할 지방 고용노동관서의 장에게 보고해야 한다. ④ 지방...
현장 조치 기준: 작업 전 위험요인 확인, 작업중지·대피 기준, 보고·기록 절차, 보호구·환기·가스측정 여부 확인</x:v>
      </x:c>
      <x:c r="O87" s="13" t="str">
        <x:v>1차 자동 평가(rule-based)</x:v>
      </x:c>
    </x:row>
    <x:row r="88" ht="58" customHeight="1">
      <x:c r="A88" s="13" t="str">
        <x:v>Q087</x:v>
      </x:c>
      <x:c r="B88" s="13" t="str">
        <x:v>사고보고/응급조치</x:v>
      </x:c>
      <x:c r="C88" s="13" t="str">
        <x:v>응급조치 후 추가 사고 위험이 남아 있다면 관리자가 다음으로 해야 할 일은 무엇인가?</x:v>
      </x:c>
      <x:c r="D88" s="15" t="n">
        <x:v>15</x:v>
      </x:c>
      <x:c r="E88" s="15" t="n">
        <x:v>16</x:v>
      </x:c>
      <x:c r="F88" s="15" t="n">
        <x:v>19</x:v>
      </x:c>
      <x:c r="G88" s="15" t="n">
        <x:v>19</x:v>
      </x:c>
      <x:c r="H88" s="15" t="n">
        <x:v>69</x:v>
      </x:c>
      <x:c r="I88" s="16" t="str">
        <x:v>보완 필요</x:v>
      </x:c>
      <x:c r="J88" s="13" t="str">
        <x:v>Y</x:v>
      </x:c>
      <x:c r="K88" s="13" t="str">
        <x:v>총점이 80점 미만; 예상 키워드 매칭 약함</x:v>
      </x:c>
      <x:c r="L88" s="13" t="str">
        <x:v>11_안전보건관리체계_구축_가이드북.txt,11_안전보건관리체계_구축_가이드북.txt,04_산업안전보건법_시행령.txt,04_산업안전보건법_시행령.txt,11_안전보건관리체계_구축_가이드북.txt</x:v>
      </x:c>
      <x:c r="M88" s="13" t="str">
        <x:v>chunk_00398,chunk_00385,chunk_00108,chunk_00124,chunk_00374</x:v>
      </x:c>
      <x:c r="N88" s="13" t="str">
        <x:v>1차 자동 평가용 답변 초안
질문: 응급조치 후 추가 사고 위험이 남아 있다면 관리자가 다음으로 해야 할 일은 무엇인가?
근거 요약:
- 11_안전보건관리체계_구축_가이드북.txt | chunk_id chunk_00398 |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
- 11_안전보건관리체계_구축_가이드북.txt | chunk_id chunk_00385 |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- 04_산업안전보건법_시행령.txt | chunk_id chunk_00108 | 지도 및 조치 건의 6. 산업재해 발생의 원인 조사ㆍ분석 및 재발 방지를 위한 기술적 보좌 및 지도ㆍ조언 7. 산업재해에 관한 통계의 유지ㆍ관리ㆍ분석을 위한 보좌 및 지도ㆍ조언 8. 법 또는 법에 따른 명령으로 정한 안전에 관한 사항의 이행에 관한 보좌 및 지도ㆍ조언 9. 업무 수행 내용의 기록ㆍ유지 10. 그 밖에 안전에 관한 사항으로서 고용노동부장관이 정하는 사항 ② 사업주가 안전관리자를...
현장 조치 기준: 작업 전 위험요인 확인, 작업중지·대피 기준, 보고·기록 절차, 보호구·환기·가스측정 여부 확인</x:v>
      </x:c>
      <x:c r="O88" s="13" t="str">
        <x:v>1차 자동 평가(rule-based)</x:v>
      </x:c>
    </x:row>
    <x:row r="89" ht="58" customHeight="1">
      <x:c r="A89" s="13" t="str">
        <x:v>Q088</x:v>
      </x:c>
      <x:c r="B89" s="13" t="str">
        <x:v>복합위험/중대재해 대응</x:v>
      </x:c>
      <x:c r="C89" s="13" t="str">
        <x:v>작업 전 여러 위험요인이 동시에 보이면 관리자가 어떻게 우선 조치해야 하나?</x:v>
      </x:c>
      <x:c r="D89" s="15" t="n">
        <x:v>18</x:v>
      </x:c>
      <x:c r="E89" s="15" t="n">
        <x:v>16</x:v>
      </x:c>
      <x:c r="F89" s="15" t="n">
        <x:v>19</x:v>
      </x:c>
      <x:c r="G89" s="15" t="n">
        <x:v>19</x:v>
      </x:c>
      <x:c r="H89" s="15" t="n">
        <x:v>72</x:v>
      </x:c>
      <x:c r="I89" s="16" t="str">
        <x:v>보통</x:v>
      </x:c>
      <x:c r="J89" s="13" t="str">
        <x:v>Y</x:v>
      </x:c>
      <x:c r="K89" s="13" t="str">
        <x:v>총점이 80점 미만; 예상 키워드 매칭 약함</x:v>
      </x:c>
      <x:c r="L89" s="13" t="str">
        <x:v>11_안전보건관리체계_구축_가이드북.txt,11_안전보건관리체계_구축_가이드북.txt,13_2023_새로운_위험성평가_안내서.txt,03_산업안전보건법.txt,13_2023_새로운_위험성평가_안내서.txt</x:v>
      </x:c>
      <x:c r="M89" s="13" t="str">
        <x:v>chunk_00374,chunk_00363,chunk_00464,chunk_00039,chunk_00463</x:v>
      </x:c>
      <x:c r="N89" s="13" t="str">
        <x:v>1차 자동 평가용 답변 초안
질문: 작업 전 여러 위험요인이 동시에 보이면 관리자가 어떻게 우선 조치해야 하나?
근거 요약: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- 11_안전보건관리체계_구축_가이드북.txt | chunk_id chunk_00363 | 4조] ① 사업주 또는 경영책임자등은 사업주나 법인 또는 기관이 실질적으로 지배·운영· 관리하는 사업 또는 사업장에서 종사자의 안전·보건상 유해 또는 위험을 방지 하기 위하여 그 사업 또는 사업장의 특성 및 규모 등을 고려하여 다음 각 호에 따른 조치를 하여야 한다. 1. 재해예방에 필요한 인력 및 예산 등 안전보건관리체계의 구축 및 그 이행에 관한 조치 2~4. 생략 ===== PAGE 8...
- 13_2023_새로운_위험성평가_안내서.txt | chunk_id chunk_00464 | 을 관리하고 내용과 결과를 분석합니다. TIP 안전보건관리자 선임의무가 없거나 위탁관리하는 사업장은? 안전관리자 등의 업무를 외부 전문기관에 위탁을 주거나, 안전관리자 등의 선임의무가   없는 중 · 소규모 사업장의 경우에는 사업주가 관리감독자나 현장관리자 중 위험성평가의   실시에 관하여 보좌 · 지도 · 조언할 사람을 지정하는 등 사업장 내 위험성평가를 위한   체제를 구축하여야 합니다....
현장 조치 기준: 작업 전 위험요인 확인, 작업중지·대피 기준, 보고·기록 절차, 보호구·환기·가스측정 여부 확인</x:v>
      </x:c>
      <x:c r="O89" s="13" t="str">
        <x:v>1차 자동 평가(rule-based)</x:v>
      </x:c>
    </x:row>
    <x:row r="90" ht="58" customHeight="1">
      <x:c r="A90" s="13" t="str">
        <x:v>Q089</x:v>
      </x:c>
      <x:c r="B90" s="13" t="str">
        <x:v>전기안전</x:v>
      </x:c>
      <x:c r="C90" s="13" t="str">
        <x:v>감전 우려가 있는 장비를 수리하려면 작업 전 무엇을 반드시 확인해야 하나?</x:v>
      </x:c>
      <x:c r="D90" s="15" t="n">
        <x:v>18</x:v>
      </x:c>
      <x:c r="E90" s="15" t="n">
        <x:v>20</x:v>
      </x:c>
      <x:c r="F90" s="15" t="n">
        <x:v>19</x:v>
      </x:c>
      <x:c r="G90" s="15" t="n">
        <x:v>19</x:v>
      </x:c>
      <x:c r="H90" s="15" t="n">
        <x:v>76</x:v>
      </x:c>
      <x:c r="I90" s="16" t="str">
        <x:v>보통</x:v>
      </x:c>
      <x:c r="J90" s="13" t="str">
        <x:v>Y</x:v>
      </x:c>
      <x:c r="K90" s="13" t="str">
        <x:v>총점이 80점 미만</x:v>
      </x:c>
      <x:c r="L90" s="13" t="str">
        <x:v>09_광산안전기술기준_제10차개정_2024-12-19.txt,11_안전보건관리체계_구축_가이드북.txt,05_산업안전보건법_시행규칙.txt,08_광산안전법_시행규칙.txt,11_안전보건관리체계_구축_가이드북.txt</x:v>
      </x:c>
      <x:c r="M90" s="13" t="str">
        <x:v>chunk_00303,chunk_00389,chunk_00195,chunk_00286,chunk_00380</x:v>
      </x:c>
      <x:c r="N90" s="13" t="str">
        <x:v>1차 자동 평가용 답변 초안
질문: 감전 우려가 있는 장비를 수리하려면 작업 전 무엇을 반드시 확인해야 하나?
근거 요약:
- 09_광산안전기술기준_제10차개정_2024-12-19.txt | chunk_id chunk_00303 |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- 11_안전보건관리체계_구축_가이드북.txt | chunk_id chunk_00389 |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
- 05_산업안전보건법_시행규칙.txt | chunk_id chunk_00195 |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
현장 조치 기준: 작업 전 위험요인 확인, 작업중지·대피 기준, 보고·기록 절차, 보호구·환기·가스측정 여부 확인</x:v>
      </x:c>
      <x:c r="O90" s="13" t="str">
        <x:v>1차 자동 평가(rule-based)</x:v>
      </x:c>
    </x:row>
    <x:row r="91" ht="58" customHeight="1">
      <x:c r="A91" s="13" t="str">
        <x:v>Q090</x:v>
      </x:c>
      <x:c r="B91" s="13" t="str">
        <x:v>장비/운반/차량</x:v>
      </x:c>
      <x:c r="C91" s="13" t="str">
        <x:v>운반차량 운행 중 경보음이 작동하지 않으면 관리자가 무엇을 해야 하나?</x:v>
      </x:c>
      <x:c r="D91" s="15" t="n">
        <x:v>18</x:v>
      </x:c>
      <x:c r="E91" s="15" t="n">
        <x:v>16</x:v>
      </x:c>
      <x:c r="F91" s="15" t="n">
        <x:v>19</x:v>
      </x:c>
      <x:c r="G91" s="15" t="n">
        <x:v>19</x:v>
      </x:c>
      <x:c r="H91" s="15" t="n">
        <x:v>72</x:v>
      </x:c>
      <x:c r="I91" s="16" t="str">
        <x:v>보통</x:v>
      </x:c>
      <x:c r="J91" s="13" t="str">
        <x:v>Y</x:v>
      </x:c>
      <x:c r="K91" s="13" t="str">
        <x:v>총점이 80점 미만; 예상 키워드 매칭 약함</x:v>
      </x:c>
      <x:c r="L91" s="13" t="str">
        <x:v>09_광산안전기술기준_제10차개정_2024-12-19.txt,11_안전보건관리체계_구축_가이드북.txt,09_광산안전기술기준_제10차개정_2024-12-19.txt,09_광산안전기술기준_제10차개정_2024-12-19.txt,09_광산안전기술기준_제10차개정_2024-12-19.txt</x:v>
      </x:c>
      <x:c r="M91" s="13" t="str">
        <x:v>chunk_00322,chunk_00389,chunk_00310,chunk_00331,chunk_00323</x:v>
      </x:c>
      <x:c r="N91" s="13" t="str">
        <x:v>1차 자동 평가용 답변 초안
질문: 운반차량 운행 중 경보음이 작동하지 않으면 관리자가 무엇을 해야 하나?
근거 요약:
- 09_광산안전기술기준_제10차개정_2024-12-19.txt | chunk_id chunk_00322 | 리직원이 배치한 운전원 또는 보수ㆍ유지ㆍ시험작업을 지시받은 자가 아니면 권양기 또는 기관차를 운전하여서는 안 된다. ②기관차의 운전원이 기관차로부터 떠날 때에는 다른 사람이 운전할 수 없도록 조치하여야 한다.제119조(운전원의 준수사항) 기관차의 운전원은 다음 각 호의 사항을 준수하여야 한다. 1. 가공선식전기기관차의 포오르를 역으로 하여 운전하지 아니할 것 2. 엔드레스권양기운반을 제외하고...
- 11_안전보건관리체계_구축_가이드북.txt | chunk_id chunk_00389 |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
- 09_광산안전기술기준_제10차개정_2024-12-19.txt | chunk_id chunk_00310 |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
현장 조치 기준: 작업 전 위험요인 확인, 작업중지·대피 기준, 보고·기록 절차, 보호구·환기·가스측정 여부 확인</x:v>
      </x:c>
      <x:c r="O91" s="13" t="str">
        <x:v>1차 자동 평가(rule-based)</x:v>
      </x:c>
    </x:row>
    <x:row r="92" ht="58" customHeight="1">
      <x:c r="A92" s="13" t="str">
        <x:v>Q091</x:v>
      </x:c>
      <x:c r="B92" s="13" t="str">
        <x:v>위험성평가/작업허가/기록관리</x:v>
      </x:c>
      <x:c r="C92" s="13" t="str">
        <x:v>작업허가서 내용을 현장 작업자와 다르게 이해하고 있다면 관리자가 무엇을 해야 하나?</x:v>
      </x:c>
      <x:c r="D92" s="15" t="n">
        <x:v>16</x:v>
      </x:c>
      <x:c r="E92" s="15" t="n">
        <x:v>20</x:v>
      </x:c>
      <x:c r="F92" s="15" t="n">
        <x:v>19</x:v>
      </x:c>
      <x:c r="G92" s="15" t="n">
        <x:v>19</x:v>
      </x:c>
      <x:c r="H92" s="15" t="n">
        <x:v>74</x:v>
      </x:c>
      <x:c r="I92" s="16" t="str">
        <x:v>보통</x:v>
      </x:c>
      <x:c r="J92" s="13" t="str">
        <x:v>Y</x:v>
      </x:c>
      <x:c r="K92" s="13" t="str">
        <x:v>총점이 80점 미만</x:v>
      </x:c>
      <x:c r="L92" s="13" t="str">
        <x:v>11_안전보건관리체계_구축_가이드북.txt,03_산업안전보건법.txt,11_안전보건관리체계_구축_가이드북.txt,04_산업안전보건법_시행령.txt,13_2023_새로운_위험성평가_안내서.txt</x:v>
      </x:c>
      <x:c r="M92" s="13" t="str">
        <x:v>chunk_00374,chunk_00047,chunk_00414,chunk_00107,chunk_00464</x:v>
      </x:c>
      <x:c r="N92" s="13" t="str">
        <x:v>1차 자동 평가용 답변 초안
질문: 작업허가서 내용을 현장 작업자와 다르게 이해하고 있다면 관리자가 무엇을 해야 하나?
근거 요약: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- 11_안전보건관리체계_구축_가이드북.txt | chunk_id chunk_00414 | 산을 확보 입법예고한 시행령에 담긴 내용 125 ===== PAGE 127 ===== 사업주 또는 경영책임자 등이 제3자에게 도급·용역·위탁 등을 한 경우(실질적 지배· 운영·관리 시) 제3자의 종사자의 안전·보건 확보를 위한 조치를 해야 합니다. 실질적으로 지배·운영·관리하는 책임이 있는 경우란? 사업주가 해당 장소, 시설 ·설비 등에 점유권, 임차권 등 실질적인 지배관리권을 가지고 있어...
현장 조치 기준: 작업 전 위험요인 확인, 작업중지·대피 기준, 보고·기록 절차, 보호구·환기·가스측정 여부 확인</x:v>
      </x:c>
      <x:c r="O92" s="13" t="str">
        <x:v>1차 자동 평가(rule-based)</x:v>
      </x:c>
    </x:row>
    <x:row r="93" ht="58" customHeight="1">
      <x:c r="A93" s="13" t="str">
        <x:v>Q092</x:v>
      </x:c>
      <x:c r="B93" s="13" t="str">
        <x:v>사고보고/응급조치</x:v>
      </x:c>
      <x:c r="C93" s="13" t="str">
        <x:v>사고 발생 후 최초 보고를 누가 해야 하는지 관리자가 확인해야 할 이유는 무엇인가?</x:v>
      </x:c>
      <x:c r="D93" s="15" t="n">
        <x:v>15</x:v>
      </x:c>
      <x:c r="E93" s="15" t="n">
        <x:v>16</x:v>
      </x:c>
      <x:c r="F93" s="15" t="n">
        <x:v>19</x:v>
      </x:c>
      <x:c r="G93" s="15" t="n">
        <x:v>19</x:v>
      </x:c>
      <x:c r="H93" s="15" t="n">
        <x:v>69</x:v>
      </x:c>
      <x:c r="I93" s="16" t="str">
        <x:v>보완 필요</x:v>
      </x:c>
      <x:c r="J93" s="13" t="str">
        <x:v>Y</x:v>
      </x:c>
      <x:c r="K93" s="13" t="str">
        <x:v>총점이 80점 미만; 예상 키워드 매칭 약함</x:v>
      </x:c>
      <x:c r="L93" s="13" t="str">
        <x:v>03_산업안전보건법.txt,04_산업안전보건법_시행령.txt,03_산업안전보건법.txt,05_산업안전보건법_시행규칙.txt,13_2023_새로운_위험성평가_안내서.txt</x:v>
      </x:c>
      <x:c r="M93" s="13" t="str">
        <x:v>chunk_00036,chunk_00124,chunk_00048,chunk_00180,chunk_00485</x:v>
      </x:c>
      <x:c r="N93" s="13" t="str">
        <x:v>1차 자동 평가용 답변 초안
질문: 사고 발생 후 최초 보고를 누가 해야 하는지 관리자가 확인해야 할 이유는 무엇인가?
근거 요약:
- 03_산업안전보건법.txt | chunk_id chunk_00036 | 아야 한다. 이 경우 공정안전보고서의 내용이 중대산업사고를 예방하기 위하여 적합하다고 통보받기 전에는 관련된 유해하거나 위험한 설비를 가동해서는 아니 된다. ② 사업주는 제1항에 따라 공정안전보고서를 작성할 때 산업안전보건위원회의 심의를 거쳐야 한다. 다만, 산업안전 보건위원회가 설치되어 있지 아니한 사업장의 경우에는 근로자대표의 의견을 들어야 한다. 제45조(공정안전보고서의 심사 등) ①...
- 04_산업안전보건법_시행령.txt | chunk_id chunk_00124 |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- 03_산업안전보건법.txt | chunk_id chunk_00048 | 전문지도기관의 지정 절차, 그 밖에 필요한 사항은 대통령령으로 정한다. ③ 고용노동부장관은 건설재해예방전문지도기관에 대하여 평가하고 그 결과를 공개할 수 있다. 이 경우 평가의 기 준ㆍ방법, 결과의 공개에 필요한 사항은 고용노동부령으로 정한다. ④ 건설재해예방전문지도기관에 관하여는 제21조제4항 및 제5항을 준용한다. 이 경우 “안전관리전문기관 또는 보 건관리전문기관”은 “건설재해예방전문지도...
현장 조치 기준: 작업 전 위험요인 확인, 작업중지·대피 기준, 보고·기록 절차, 보호구·환기·가스측정 여부 확인</x:v>
      </x:c>
      <x:c r="O93" s="13" t="str">
        <x:v>1차 자동 평가(rule-based)</x:v>
      </x:c>
    </x:row>
    <x:row r="94" ht="58" customHeight="1">
      <x:c r="A94" s="13" t="str">
        <x:v>Q093</x:v>
      </x:c>
      <x:c r="B94" s="13" t="str">
        <x:v>복합위험/중대재해 대응</x:v>
      </x:c>
      <x:c r="C94" s="13" t="str">
        <x:v>중대재해 의심 상황에서 현장 보존이 중요한 이유는 무엇인가?</x:v>
      </x:c>
      <x:c r="D94" s="15" t="n">
        <x:v>13</x:v>
      </x:c>
      <x:c r="E94" s="15" t="n">
        <x:v>20</x:v>
      </x:c>
      <x:c r="F94" s="15" t="n">
        <x:v>19</x:v>
      </x:c>
      <x:c r="G94" s="15" t="n">
        <x:v>19</x:v>
      </x:c>
      <x:c r="H94" s="15" t="n">
        <x:v>71</x:v>
      </x:c>
      <x:c r="I94" s="16" t="str">
        <x:v>보통</x:v>
      </x:c>
      <x:c r="J94" s="13" t="str">
        <x:v>Y</x:v>
      </x:c>
      <x:c r="K94" s="13" t="str">
        <x:v>총점이 80점 미만</x:v>
      </x:c>
      <x:c r="L94" s="13" t="str">
        <x:v>13_2023_새로운_위험성평가_안내서.txt,03_산업안전보건법.txt,11_안전보건관리체계_구축_가이드북.txt,13_2023_새로운_위험성평가_안내서.txt,03_산업안전보건법.txt</x:v>
      </x:c>
      <x:c r="M94" s="13" t="str">
        <x:v>chunk_00453,chunk_00040,chunk_00385,chunk_00460,chunk_00046</x:v>
      </x:c>
      <x:c r="N94" s="13" t="str">
        <x:v>1차 자동 평가용 답변 초안
질문: 중대재해 의심 상황에서 현장 보존이 중요한 이유는 무엇인가?
근거 요약:
- 13_2023_새로운_위험성평가_안내서.txt | chunk_id chunk_00453 | 려운 위험성평가를 쉽게 재정의합니다. 기존 ‘위험성평가’의 정의에 재해가 일어날 가능성(빈도)과 중대성(강도)을 추정· 결정하는 과정을 포함하여 이해하기 어려웠습니다. 개선 부상·질병의 가능성과 중대성을 계량적으로 추정·결정하는 문구를 삭제하고, 위험요인의 파악과 개선 대책 마련에 집중하도록 새로 규정하였습니다. * [위험성평가] 사업주가 스스로 유해·위험요인을 파악하고 해당 유해·위험요인의...
- 03_산업안전보건법.txt | chunk_id chunk_00040 |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- 11_안전보건관리체계_구축_가이드북.txt | chunk_id chunk_00385 |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현장 조치 기준: 작업 전 위험요인 확인, 작업중지·대피 기준, 보고·기록 절차, 보호구·환기·가스측정 여부 확인</x:v>
      </x:c>
      <x:c r="O94" s="13" t="str">
        <x:v>1차 자동 평가(rule-based)</x:v>
      </x:c>
    </x:row>
    <x:row r="95" ht="58" customHeight="1">
      <x:c r="A95" s="13" t="str">
        <x:v>Q094</x:v>
      </x:c>
      <x:c r="B95" s="13" t="str">
        <x:v>전기안전</x:v>
      </x:c>
      <x:c r="C95" s="13" t="str">
        <x:v>전기 설비 부근에 물기나 습기가 있으면 관리자가 우선 해야 할 점은 무엇인가?</x:v>
      </x:c>
      <x:c r="D95" s="15" t="n">
        <x:v>18</x:v>
      </x:c>
      <x:c r="E95" s="15" t="n">
        <x:v>16</x:v>
      </x:c>
      <x:c r="F95" s="15" t="n">
        <x:v>19</x:v>
      </x:c>
      <x:c r="G95" s="15" t="n">
        <x:v>19</x:v>
      </x:c>
      <x:c r="H95" s="15" t="n">
        <x:v>72</x:v>
      </x:c>
      <x:c r="I95" s="16" t="str">
        <x:v>보통</x:v>
      </x:c>
      <x:c r="J95" s="13" t="str">
        <x:v>Y</x:v>
      </x:c>
      <x:c r="K95" s="13" t="str">
        <x:v>총점이 80점 미만; 예상 키워드 매칭 약함</x:v>
      </x:c>
      <x:c r="L95" s="13" t="str">
        <x:v>09_광산안전기술기준_제10차개정_2024-12-19.txt,11_안전보건관리체계_구축_가이드북.txt,09_광산안전기술기준_제10차개정_2024-12-19.txt,03_산업안전보건법.txt,10_광산안전업무_처리지침_2025-35_latest.txt</x:v>
      </x:c>
      <x:c r="M95" s="13" t="str">
        <x:v>chunk_00329,chunk_00407,chunk_00337,chunk_00047,chunk_00346</x:v>
      </x:c>
      <x:c r="N95" s="13" t="str">
        <x:v>1차 자동 평가용 답변 초안
질문: 전기 설비 부근에 물기나 습기가 있으면 관리자가 우선 해야 할 점은 무엇인가?
근거 요약:
- 09_광산안전기술기준_제10차개정_2024-12-19.txt | chunk_id chunk_00329 |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
- 11_안전보건관리체계_구축_가이드북.txt | chunk_id chunk_00407 | 관리 역량을 확인 할 수 있다. 반면, 수시 도급사업은 저장탱크, 펌프, 배관 등의 개선공사를 위해 ○○물류센 터에서 필요한 상황에 따라 한시적으로 계약을 맺어 각 업체의 사정을 파악하 기가 현실적으로 쉽지 않다. 수시 도급사업의 주된 작업은 배관 절단, 용접 등으로 작업장 주변에 인화성 물 질과 접촉하게 되면 큰 사고로 번질 위험이 높다. 이에 ○○물류센터는 다양한 제도와 지침을 통해 수시...
- 09_광산안전기술기준_제10차개정_2024-12-19.txt | chunk_id chunk_00337 | 음 각 호의 시설 중 그 광해 방지에 필요한 정화시설을 설치하여야 한다. 1. 물리적 처리시설 2. 기계식 및 물리화학적 처리시설 3. 자연정화 처리시설제194조(갱수 및 폐수의 배출기준) 갱수 및 폐수의 배출기준에 관하여 「물환경보전법령」 및 「해양환경관리법령」에서 정하는 기준외의 사항에 대하여는 산업통상자원부장관이 별도로 정하는 기준이하로 하여야 한다.제195조(갱수ㆍ폐수의 관리 및 준수...
현장 조치 기준: 작업 전 위험요인 확인, 작업중지·대피 기준, 보고·기록 절차, 보호구·환기·가스측정 여부 확인</x:v>
      </x:c>
      <x:c r="O95" s="13" t="str">
        <x:v>1차 자동 평가(rule-based)</x:v>
      </x:c>
    </x:row>
    <x:row r="96" ht="58" customHeight="1">
      <x:c r="A96" s="13" t="str">
        <x:v>Q095</x:v>
      </x:c>
      <x:c r="B96" s="13" t="str">
        <x:v>장비/운반/차량</x:v>
      </x:c>
      <x:c r="C96" s="13" t="str">
        <x:v>운반장비와 보행자 동선이 겹칠 때 어떤 통제를 먼저 해야 하나?</x:v>
      </x:c>
      <x:c r="D96" s="15" t="n">
        <x:v>16</x:v>
      </x:c>
      <x:c r="E96" s="15" t="n">
        <x:v>16</x:v>
      </x:c>
      <x:c r="F96" s="15" t="n">
        <x:v>19</x:v>
      </x:c>
      <x:c r="G96" s="15" t="n">
        <x:v>19</x:v>
      </x:c>
      <x:c r="H96" s="15" t="n">
        <x:v>70</x:v>
      </x:c>
      <x:c r="I96" s="16" t="str">
        <x:v>보통</x:v>
      </x:c>
      <x:c r="J96" s="13" t="str">
        <x:v>Y</x:v>
      </x:c>
      <x:c r="K96" s="13" t="str">
        <x:v>총점이 80점 미만; 예상 키워드 매칭 약함</x:v>
      </x:c>
      <x:c r="L96" s="13" t="str">
        <x:v>09_광산안전기술기준_제10차개정_2024-12-19.txt,09_광산안전기술기준_제10차개정_2024-12-19.txt,09_광산안전기술기준_제10차개정_2024-12-19.txt,09_광산안전기술기준_제10차개정_2024-12-19.txt,09_광산안전기술기준_제10차개정_2024-12-19.txt</x:v>
      </x:c>
      <x:c r="M96" s="13" t="str">
        <x:v>chunk_00331,chunk_00322,chunk_00320,chunk_00321,chunk_00327</x:v>
      </x:c>
      <x:c r="N96" s="13" t="str">
        <x:v>1차 자동 평가용 답변 초안
질문: 운반장비와 보행자 동선이 겹칠 때 어떤 통제를 먼저 해야 하나?
근거 요약:
- 09_광산안전기술기준_제10차개정_2024-12-19.txt | chunk_id chunk_00331 |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- 09_광산안전기술기준_제10차개정_2024-12-19.txt | chunk_id chunk_00322 | 리직원이 배치한 운전원 또는 보수ㆍ유지ㆍ시험작업을 지시받은 자가 아니면 권양기 또는 기관차를 운전하여서는 안 된다. ②기관차의 운전원이 기관차로부터 떠날 때에는 다른 사람이 운전할 수 없도록 조치하여야 한다.제119조(운전원의 준수사항) 기관차의 운전원은 다음 각 호의 사항을 준수하여야 한다. 1. 가공선식전기기관차의 포오르를 역으로 하여 운전하지 아니할 것 2. 엔드레스권양기운반을 제외하고...
- 09_광산안전기술기준_제10차개정_2024-12-19.txt | chunk_id chunk_00320 | AGE 49 ===== - 49 - 의한 안전율이 80% 이하로 감소한 때에는 이를 사용하지 말아야 한다. ②제1항제1호 및 제2호의 규정은 기관차에 의하여 사람을 운반할 때에 이를 준용한다.제105조(로프의 관리) ①로프는 최장으로 연장한 때에 권동에 최소 3회 이상 감겨 있어야 하며, 그 중 1회 이상은 동축에 감겨서 클램프 등으로 안전하게 결속하여야 한다. ②로프소켓은 6월마다 1회 이...
현장 조치 기준: 작업 전 위험요인 확인, 작업중지·대피 기준, 보고·기록 절차, 보호구·환기·가스측정 여부 확인</x:v>
      </x:c>
      <x:c r="O96" s="13" t="str">
        <x:v>1차 자동 평가(rule-based)</x:v>
      </x:c>
    </x:row>
    <x:row r="97" ht="58" customHeight="1">
      <x:c r="A97" s="13" t="str">
        <x:v>Q096</x:v>
      </x:c>
      <x:c r="B97" s="13" t="str">
        <x:v>위험성평가/작업허가/기록관리</x:v>
      </x:c>
      <x:c r="C97" s="13" t="str">
        <x:v>작업 전에 위험성평가 결과가 달라졌다면 관리자가 해야 할 조치는 무엇인가?</x:v>
      </x:c>
      <x:c r="D97" s="15" t="n">
        <x:v>18</x:v>
      </x:c>
      <x:c r="E97" s="15" t="n">
        <x:v>20</x:v>
      </x:c>
      <x:c r="F97" s="15" t="n">
        <x:v>19</x:v>
      </x:c>
      <x:c r="G97" s="15" t="n">
        <x:v>19</x:v>
      </x:c>
      <x:c r="H97" s="15" t="n">
        <x:v>76</x:v>
      </x:c>
      <x:c r="I97" s="16" t="str">
        <x:v>보통</x:v>
      </x:c>
      <x:c r="J97" s="13" t="str">
        <x:v>Y</x:v>
      </x:c>
      <x:c r="K97" s="13" t="str">
        <x:v>총점이 80점 미만</x:v>
      </x:c>
      <x:c r="L97" s="13" t="str">
        <x:v>11_안전보건관리체계_구축_가이드북.txt,13_2023_새로운_위험성평가_안내서.txt,03_산업안전보건법.txt,13_2023_새로운_위험성평가_안내서.txt,11_안전보건관리체계_구축_가이드북.txt</x:v>
      </x:c>
      <x:c r="M97" s="13" t="str">
        <x:v>chunk_00374,chunk_00464,chunk_00039,chunk_00463,chunk_00363</x:v>
      </x:c>
      <x:c r="N97" s="13" t="str">
        <x:v>1차 자동 평가용 답변 초안
질문: 작업 전에 위험성평가 결과가 달라졌다면 관리자가 해야 할 조치는 무엇인가?
근거 요약: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- 13_2023_새로운_위험성평가_안내서.txt | chunk_id chunk_00464 | 을 관리하고 내용과 결과를 분석합니다. TIP 안전보건관리자 선임의무가 없거나 위탁관리하는 사업장은? 안전관리자 등의 업무를 외부 전문기관에 위탁을 주거나, 안전관리자 등의 선임의무가   없는 중 · 소규모 사업장의 경우에는 사업주가 관리감독자나 현장관리자 중 위험성평가의   실시에 관하여 보좌 · 지도 · 조언할 사람을 지정하는 등 사업장 내 위험성평가를 위한   체제를 구축하여야 합니다....
- 03_산업안전보건법.txt | chunk_id chunk_00039 |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
현장 조치 기준: 작업 전 위험요인 확인, 작업중지·대피 기준, 보고·기록 절차, 보호구·환기·가스측정 여부 확인</x:v>
      </x:c>
      <x:c r="O97" s="13" t="str">
        <x:v>1차 자동 평가(rule-based)</x:v>
      </x:c>
    </x:row>
    <x:row r="98" ht="58" customHeight="1">
      <x:c r="A98" s="13" t="str">
        <x:v>Q097</x:v>
      </x:c>
      <x:c r="B98" s="13" t="str">
        <x:v>사고보고/응급조치</x:v>
      </x:c>
      <x:c r="C98" s="13" t="str">
        <x:v>응급조치 후 사후 조치로 관리자가 확인해야 할 항목은 무엇인가?</x:v>
      </x:c>
      <x:c r="D98" s="15" t="n">
        <x:v>8</x:v>
      </x:c>
      <x:c r="E98" s="15" t="n">
        <x:v>16</x:v>
      </x:c>
      <x:c r="F98" s="15" t="n">
        <x:v>19</x:v>
      </x:c>
      <x:c r="G98" s="15" t="n">
        <x:v>19</x:v>
      </x:c>
      <x:c r="H98" s="15" t="n">
        <x:v>62</x:v>
      </x:c>
      <x:c r="I98" s="16" t="str">
        <x:v>보완 필요</x:v>
      </x:c>
      <x:c r="J98" s="13" t="str">
        <x:v>Y</x:v>
      </x:c>
      <x:c r="K98" s="13" t="str">
        <x:v>총점이 80점 미만; 예상 키워드 매칭 약함; 상위 근거 연관성 약함</x:v>
      </x:c>
      <x:c r="L98" s="13" t="str">
        <x:v>04_산업안전보건법_시행령.txt,11_안전보건관리체계_구축_가이드북.txt,11_안전보건관리체계_구축_가이드북.txt,04_산업안전보건법_시행령.txt,09_광산안전기술기준_제10차개정_2024-12-19.txt</x:v>
      </x:c>
      <x:c r="M98" s="13" t="str">
        <x:v>chunk_00124,chunk_00363,chunk_00374,chunk_00108,chunk_00340</x:v>
      </x:c>
      <x:c r="N98" s="13" t="str">
        <x:v>1차 자동 평가용 답변 초안
질문: 응급조치 후 사후 조치로 관리자가 확인해야 할 항목은 무엇인가?
근거 요약:
- 04_산업안전보건법_시행령.txt | chunk_id chunk_00124 |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- 11_안전보건관리체계_구축_가이드북.txt | chunk_id chunk_00363 | 4조] ① 사업주 또는 경영책임자등은 사업주나 법인 또는 기관이 실질적으로 지배·운영· 관리하는 사업 또는 사업장에서 종사자의 안전·보건상 유해 또는 위험을 방지 하기 위하여 그 사업 또는 사업장의 특성 및 규모 등을 고려하여 다음 각 호에 따른 조치를 하여야 한다. 1. 재해예방에 필요한 인력 및 예산 등 안전보건관리체계의 구축 및 그 이행에 관한 조치 2~4. 생략 ===== PAGE 8...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현장 조치 기준: 작업 전 위험요인 확인, 작업중지·대피 기준, 보고·기록 절차, 보호구·환기·가스측정 여부 확인</x:v>
      </x:c>
      <x:c r="O98" s="13" t="str">
        <x:v>1차 자동 평가(rule-based)</x:v>
      </x:c>
    </x:row>
    <x:row r="99" ht="58" customHeight="1">
      <x:c r="A99" s="13" t="str">
        <x:v>Q098</x:v>
      </x:c>
      <x:c r="B99" s="13" t="str">
        <x:v>복합위험/중대재해 대응</x:v>
      </x:c>
      <x:c r="C99" s="13" t="str">
        <x:v>여러 위험요인으로 작업 재개가 불확실할 때 어떤 판단을 해야 하나?</x:v>
      </x:c>
      <x:c r="D99" s="15" t="n">
        <x:v>8</x:v>
      </x:c>
      <x:c r="E99" s="15" t="n">
        <x:v>16</x:v>
      </x:c>
      <x:c r="F99" s="15" t="n">
        <x:v>19</x:v>
      </x:c>
      <x:c r="G99" s="15" t="n">
        <x:v>19</x:v>
      </x:c>
      <x:c r="H99" s="15" t="n">
        <x:v>62</x:v>
      </x:c>
      <x:c r="I99" s="16" t="str">
        <x:v>보완 필요</x:v>
      </x:c>
      <x:c r="J99" s="13" t="str">
        <x:v>Y</x:v>
      </x:c>
      <x:c r="K99" s="13" t="str">
        <x:v>총점이 80점 미만; 예상 키워드 매칭 약함; 상위 근거 연관성 약함</x:v>
      </x:c>
      <x:c r="L99" s="13" t="str">
        <x:v>13_2023_새로운_위험성평가_안내서.txt,13_2023_새로운_위험성평가_안내서.txt,13_2023_새로운_위험성평가_안내서.txt,13_2023_새로운_위험성평가_안내서.txt,13_2023_새로운_위험성평가_안내서.txt</x:v>
      </x:c>
      <x:c r="M99" s="13" t="str">
        <x:v>chunk_00472,chunk_00461,chunk_00447,chunk_00487,chunk_00442</x:v>
      </x:c>
      <x:c r="N99" s="13" t="str">
        <x:v>1차 자동 평가용 답변 초안
질문: 여러 위험요인으로 작업 재개가 불확실할 때 어떤 판단을 해야 하나?
근거 요약:
- 13_2023_새로운_위험성평가_안내서.txt | chunk_id chunk_00472 | 고 그 중 ‘하’의 위험도만 허용 가능한 수준으로 보기로 사전에 결정하였다면, - 어떤 기계를 작동할 때의 위험성이 ‘상’으로 분류되었을 때 허용 불가능한 위험성의 수준이므로 신속히 위험성을 ‘하’로 낮추기 위한 위험성 감소대책을 수립 · 시행하 여야 합니다. 번호 유해·위험요인 파악 (위험한 상황과 결과) 위험성의 수준 (상,중,하) 개선 대책 개선 예정일 개선 완료일 담당자 1 비계의 작...
- 13_2023_새로운_위험성평가_안내서.txt | chunk_id chunk_00461 | 지 낮은지 판단하는 기준을 마련할 때는 반드시 근로자가 참여하여야 합니다. ● 또한, 사업장에서 허용 가능한 위험성의 수준이 어떤 수준인지를 결정할 때에도 위험에 직접 노출되는 근로자들의 참여가 필수적입니다. 고시 근로자 참여 제  6조(근로자 참여)  사업주는 위험성평가를 실시할 때, 법 제36조제2항에 따라 다음 각 호에 해당하는 경우 해당 작업에 종사하는 근로자를 참여시켜야 한다. 1....
- 13_2023_새로운_위험성평가_안내서.txt | chunk_id chunk_00447 |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
현장 조치 기준: 작업 전 위험요인 확인, 작업중지·대피 기준, 보고·기록 절차, 보호구·환기·가스측정 여부 확인</x:v>
      </x:c>
      <x:c r="O99" s="13" t="str">
        <x:v>1차 자동 평가(rule-based)</x:v>
      </x:c>
    </x:row>
    <x:row r="100" ht="58" customHeight="1">
      <x:c r="A100" s="13" t="str">
        <x:v>Q099</x:v>
      </x:c>
      <x:c r="B100" s="13" t="str">
        <x:v>전기안전</x:v>
      </x:c>
      <x:c r="C100" s="13" t="str">
        <x:v>전기 설비 작업 중 자격증이 없는 작업자가 참여한다면 관리자가 무엇을 해야 하나?</x:v>
      </x:c>
      <x:c r="D100" s="15" t="n">
        <x:v>18</x:v>
      </x:c>
      <x:c r="E100" s="15" t="n">
        <x:v>20</x:v>
      </x:c>
      <x:c r="F100" s="15" t="n">
        <x:v>19</x:v>
      </x:c>
      <x:c r="G100" s="15" t="n">
        <x:v>19</x:v>
      </x:c>
      <x:c r="H100" s="15" t="n">
        <x:v>76</x:v>
      </x:c>
      <x:c r="I100" s="16" t="str">
        <x:v>보통</x:v>
      </x:c>
      <x:c r="J100" s="13" t="str">
        <x:v>Y</x:v>
      </x:c>
      <x:c r="K100" s="13" t="str">
        <x:v>총점이 80점 미만</x:v>
      </x:c>
      <x:c r="L100" s="13" t="str">
        <x:v>03_산업안전보건법.txt,03_산업안전보건법.txt,04_산업안전보건법_시행령.txt,04_산업안전보건법_시행령.txt,05_산업안전보건법_시행규칙.txt</x:v>
      </x:c>
      <x:c r="M100" s="13" t="str">
        <x:v>chunk_00047,chunk_00053,chunk_00107,chunk_00125,chunk_00202</x:v>
      </x:c>
      <x:c r="N100" s="13" t="str">
        <x:v>1차 자동 평가용 답변 초안
질문: 전기 설비 작업 중 자격증이 없는 작업자가 참여한다면 관리자가 무엇을 해야 하나?
근거 요약:
- 03_산업안전보건법.txt | chunk_id chunk_00047 |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
- 03_산업안전보건법.txt | chunk_id chunk_00053 | 대여하는 자에게 고용노동부령 으로 정하는 바에 따라 그 안전인증대상기계등을 수거하거나 파기할 것을 명할 수 있다. ===== PAGE 23 ===== 법제처 23 국가법령정보센터 산업안전보건법 제88조(안전인증기관) ① 고용노동부장관은 제84조에 따른 안전인증 업무 및 확인 업무를 위탁받아 수행할 기관을 안 전인증기관으로 지정할 수 있다. ② 제1항에 따라 안전인증기관으로 지정받으려는 자는...
- 04_산업안전보건법_시행령.txt | chunk_id chunk_00107 | 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현장 조치 기준: 작업 전 위험요인 확인, 작업중지·대피 기준, 보고·기록 절차, 보호구·환기·가스측정 여부 확인</x:v>
      </x:c>
      <x:c r="O100" s="13" t="str">
        <x:v>1차 자동 평가(rule-based)</x:v>
      </x:c>
    </x:row>
    <x:row r="101" ht="58" customHeight="1">
      <x:c r="A101" s="13" t="str">
        <x:v>Q100</x:v>
      </x:c>
      <x:c r="B101" s="13" t="str">
        <x:v>복합위험/중대재해 대응</x:v>
      </x:c>
      <x:c r="C101" s="13" t="str">
        <x:v>중대재해 우려가 있는 상황에서 관리자가 작업자에게 무엇을 먼저 안내해야 하나?</x:v>
      </x:c>
      <x:c r="D101" s="15" t="n">
        <x:v>16</x:v>
      </x:c>
      <x:c r="E101" s="15" t="n">
        <x:v>20</x:v>
      </x:c>
      <x:c r="F101" s="15" t="n">
        <x:v>19</x:v>
      </x:c>
      <x:c r="G101" s="15" t="n">
        <x:v>19</x:v>
      </x:c>
      <x:c r="H101" s="15" t="n">
        <x:v>74</x:v>
      </x:c>
      <x:c r="I101" s="16" t="str">
        <x:v>보통</x:v>
      </x:c>
      <x:c r="J101" s="13" t="str">
        <x:v>Y</x:v>
      </x:c>
      <x:c r="K101" s="13" t="str">
        <x:v>총점이 80점 미만</x:v>
      </x:c>
      <x:c r="L101" s="13" t="str">
        <x:v>11_안전보건관리체계_구축_가이드북.txt,11_안전보건관리체계_구축_가이드북.txt,13_2023_새로운_위험성평가_안내서.txt,13_2023_새로운_위험성평가_안내서.txt,04_산업안전보건법_시행령.txt</x:v>
      </x:c>
      <x:c r="M101" s="13" t="str">
        <x:v>chunk_00363,chunk_00374,chunk_00466,chunk_00464,chunk_00108</x:v>
      </x:c>
      <x:c r="N101" s="13" t="str">
        <x:v>1차 자동 평가용 답변 초안
질문: 중대재해 우려가 있는 상황에서 관리자가 작업자에게 무엇을 먼저 안내해야 하나?
근거 요약:
- 11_안전보건관리체계_구축_가이드북.txt | chunk_id chunk_00363 | 4조] ① 사업주 또는 경영책임자등은 사업주나 법인 또는 기관이 실질적으로 지배·운영· 관리하는 사업 또는 사업장에서 종사자의 안전·보건상 유해 또는 위험을 방지 하기 위하여 그 사업 또는 사업장의 특성 및 규모 등을 고려하여 다음 각 호에 따른 조치를 하여야 한다. 1. 재해예방에 필요한 인력 및 예산 등 안전보건관리체계의 구축 및 그 이행에 관한 조치 2~4. 생략 ===== PAGE 8...
- 11_안전보건관리체계_구축_가이드북.txt | chunk_id chunk_00374 |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
- 13_2023_새로운_위험성평가_안내서.txt | chunk_id chunk_00466 | 제36조에 따른 위험성평가에 관한 보좌 및 지도·조언 제  62조(안전보건총괄책임자) ① 도급인은 관계수급인 근로자가 도급인의 사업장에서 작업을 하는 경우 에는 그 사업장의 안전보건관리책임자를 도급인의 근로자와 관계수급인 근로자의 산업재해를 예방하기 위한 업무를 총괄하여 관리하는 안전보건총괄책임자로 지정하여야 한다. 이 경우 안전 보건관리책임자를 두지 아니하여도 되는 사업장에서는 그 사업장에...
현장 조치 기준: 작업 전 위험요인 확인, 작업중지·대피 기준, 보고·기록 절차, 보호구·환기·가스측정 여부 확인</x:v>
      </x:c>
      <x:c r="O101" s="13" t="str">
        <x:v>1차 자동 평가(rule-based)</x:v>
      </x:c>
    </x:row>
    <x:row r="102" ht="58" customHeight="1">
      <x:c r="A102" s="13" t="str">
        <x:v>Q101</x:v>
      </x:c>
      <x:c r="B102" s="13" t="str">
        <x:v>분진 관리</x:v>
      </x:c>
      <x:c r="C102" s="13" t="str">
        <x:v>천공 작업 전에 분진 발생을 줄이기 위해 살수와 집진 상태를 어떤 기준으로 확인해야 하나?</x:v>
      </x:c>
      <x:c r="D102" s="15" t="n">
        <x:v>12</x:v>
      </x:c>
      <x:c r="E102" s="15" t="n">
        <x:v>25</x:v>
      </x:c>
      <x:c r="F102" s="15" t="n">
        <x:v>25</x:v>
      </x:c>
      <x:c r="G102" s="15" t="n">
        <x:v>22</x:v>
      </x:c>
      <x:c r="H102" s="15" t="n">
        <x:v>84</x:v>
      </x:c>
      <x:c r="I102" s="16" t="str">
        <x:v>보통</x:v>
      </x:c>
      <x:c r="J102" s="13" t="str">
        <x:v>Y</x:v>
      </x:c>
      <x:c r="K102" s="13" t="str">
        <x:v>상위 근거 연관성 또는 키워드 매칭 보완 필요; 예상 키워드 1/7개 근거에서 확인; 근거 chunk 5개, 문서 3종 활용; 안전·법령 관련 핵심어 15개 반영; 현장 조치·확인 절차 관련 표현 10개 반영</x:v>
      </x:c>
      <x:c r="L102" s="13" t="str">
        <x:v>11_안전보건관리체계_구축_가이드북.txt,04_산업안전보건법_시행령.txt,05_산업안전보건법_시행규칙.txt,11_안전보건관리체계_구축_가이드북.txt,04_산업안전보건법_시행령.txt</x:v>
      </x:c>
      <x:c r="M102" s="13" t="str">
        <x:v>chunk_00422,chunk_00111,chunk_00207,chunk_00410,chunk_00120</x:v>
      </x:c>
      <x:c r="N102" s="13" t="str">
        <x:v>1차 자동 평가용 답변 초안
질문: 천공 작업 전에 분진 발생을 줄이기 위해 살수와 집진 상태를 어떤 기준으로 확인해야 하나?
근거 요약:
- 11_안전보건관리체계_구축_가이드북.txt | chunk_id chunk_00422 | 수립 및 훈련 ===== PAGE 151 ===== 150 memo ===== PAGE 152 ===== 151 ===== PAGE 153 ===== 발 행 일 2021년 8월 기 획 고용노동부 산업안전보건본부(본부장 권기섭) 제 작 산재예방감독정책관 김규석, 산재예방지원과장 금정수, 서기관 박상원, 사무관 김대원, 근로감독관 정상은/김시현 취재·디자인 초이스컴(주) 070-4245-9599 산업재해 예방을 위한 안전보건관리체계 가이드북 ===== PAGE 15...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- 05_산업안전보건법_시행규칙.txt | chunk_id chunk_00207 | 경력이 5년 이상인 사람 3. 「국가기술자격법」에 따른 기계ㆍ전기ㆍ전자ㆍ화공 또는 산업안전 분야에서 기능사 이상의 자격을 취득한 후 해 당 분야의 실무경력이 7년 이상인 사람 4. 「고등교육법」 제2조에 따른 학교 중 수업연한이 4년인 학교(같은 법 및 다른 법령에 따라 이와 같은 수준 이상의 학력이 인정되는 학교를 포함한다)에서 기계ㆍ전기ㆍ전자ㆍ화공 또는 산업안전 분야의 관련 학과를 졸업한 후 해당 분야의 실무경력이 3년 이상인 사람 5. 「고등교육법」에 따른...
- 11_안전보건관리체계_구축_가이드북.txt | chunk_id chunk_00410 | 및 시행령 입법예고안 제5조제2항&gt; 113 ===== PAGE 115 ===== 114 주요사업 석유수지 제조 설립연도 1957년 대 표 자 장희구 근로자 수 154명 소 재 지 울산시 남구 사평로 33 코오롱인더스트리㈜ 울산공장 ===== PAGE 116 ===== 115 화학소재 전문기업인 코오롱인더스트리㈜는 자동차 타이어, 차선용 도료, 페인트, 기저귀용 접착제, 테이프/라벨, 글루건 등 각종 접착제 원료를 생산한다. 근로자의 안전과 재해 예방을 위해 20...
- 04_산업안전보건법_시행령.txt | chunk_id chunk_00120 | 학사고예방관리계획서 사본의 제출로 갈음할 수 있다. &lt;개정 2020. 9. 8., 2025. 10. 1.&gt; ② 제1항 전단에도 불구하고 사업주가 제출해야 할 공정안전보고서가 「고압가스 안전관리법」 제2조에 따른 고압가 스를 사용하는 단위공정 설비에 관한 것인 경우로서 해당 사업주가 같은 법 제11조에 따른 안전관리규정과 같은 법 제13조의2에 따른 안전성향상계획을 작성하여 공단 및 같은 법 제28조에 따른 한국가스안전공사가 공동으로 검토 ㆍ작성한 의견서를 첨부하...
현장 조치 기준: 작업 전 위험요인 확인, 작업중지·대피 기준, 보고·기록 절차, 보호구·환기·가스측정·분진 저감조치 여부 확인</x:v>
      </x:c>
      <x:c r="O102" s="13" t="str">
        <x:v>1차 자동 평가(rule-based, chroma)</x:v>
      </x:c>
    </x:row>
    <x:row r="103" ht="58" customHeight="1">
      <x:c r="A103" s="13" t="str">
        <x:v>Q102</x:v>
      </x:c>
      <x:c r="B103" s="13" t="str">
        <x:v>분진 관리</x:v>
      </x:c>
      <x:c r="C103" s="13" t="str">
        <x:v>굴진 작업 중 분진이 평소보다 많이 발생하면 관리자가 우선 확인하고 조치해야 할 사항은 무엇인가?</x:v>
      </x:c>
      <x:c r="D103" s="15" t="n">
        <x:v>11</x:v>
      </x:c>
      <x:c r="E103" s="15" t="n">
        <x:v>25</x:v>
      </x:c>
      <x:c r="F103" s="15" t="n">
        <x:v>25</x:v>
      </x:c>
      <x:c r="G103" s="15" t="n">
        <x:v>21</x:v>
      </x:c>
      <x:c r="H103" s="15" t="n">
        <x:v>82</x:v>
      </x:c>
      <x:c r="I103" s="16" t="str">
        <x:v>보통</x:v>
      </x:c>
      <x:c r="J103" s="13" t="str">
        <x:v>Y</x:v>
      </x:c>
      <x:c r="K103" s="13" t="str">
        <x:v>상위 근거 연관성 또는 키워드 매칭 보완 필요; 예상 키워드 0/8개 근거에서 확인; 근거 chunk 5개, 문서 4종 활용; 안전·법령 관련 핵심어 14개 반영; 현장 조치·확인 절차 관련 표현 9개 반영</x:v>
      </x:c>
      <x:c r="L103" s="13" t="str">
        <x:v>03_산업안전보건법.txt,10_광산안전업무_처리지침_2025-35_latest.txt,04_산업안전보건법_시행령.txt,04_산업안전보건법_시행령.txt,09_광산안전기술기준_제10차개정_2024-12-19.txt</x:v>
      </x:c>
      <x:c r="M103" s="13" t="str">
        <x:v>chunk_00069,chunk_00351,chunk_00120,chunk_00111,chunk_00337</x:v>
      </x:c>
      <x:c r="N103" s="13" t="str">
        <x:v>1차 자동 평가용 답변 초안
질문: 굴진 작업 중 분진이 평소보다 많이 발생하면 관리자가 우선 확인하고 조치해야 할 사항은 무엇인가?
근거 요약:
- 03_산업안전보건법.txt | chunk_id chunk_00069 |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- 10_광산안전업무_처리지침_2025-35_latest.txt | chunk_id chunk_00351 | ㅇ 선광장(원동기를 사용하지 아니하는 건식의 것은 제외) ㅇ 파쇄기,분쇄기,마광기 등의 구조 및 처리용량ㅇ 200kW이상의 동력을 사용하는 갱내의 양수기 및 이에 부속되는 전기시설ㅇ 양수기의 구조 및 형식ㅇ 200kVA이상인 갱내의 변전설비ㅇ 변전설비의 용량(20퍼센트이상 또는 50kVA이상 변경)또는 1차측전압을 10퍼센트 이상의 용량ㅇ 지표에 새로 설치되는 갱구 ㅇ 갱구 규격ㅇ 갱도 진행 방향 및 경사ㅇ 150kW이상의 동력을 사용하는 파쇄시설ㅇ 파쇄기,분쇄...
- 04_산업안전보건법_시행령.txt | chunk_id chunk_00120 | 학사고예방관리계획서 사본의 제출로 갈음할 수 있다. &lt;개정 2020. 9. 8., 2025. 10. 1.&gt; ② 제1항 전단에도 불구하고 사업주가 제출해야 할 공정안전보고서가 「고압가스 안전관리법」 제2조에 따른 고압가 스를 사용하는 단위공정 설비에 관한 것인 경우로서 해당 사업주가 같은 법 제11조에 따른 안전관리규정과 같은 법 제13조의2에 따른 안전성향상계획을 작성하여 공단 및 같은 법 제28조에 따른 한국가스안전공사가 공동으로 검토 ㆍ작성한 의견서를 첨부하...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- 09_광산안전기술기준_제10차개정_2024-12-19.txt | chunk_id chunk_00337 | 음 각 호의 시설 중 그 광해 방지에 필요한 정화시설을 설치하여야 한다. 1. 물리적 처리시설 2. 기계식 및 물리화학적 처리시설 3. 자연정화 처리시설제194조(갱수 및 폐수의 배출기준) 갱수 및 폐수의 배출기준에 관하여 「물환경보전법령」 및 「해양환경관리법령」에서 정하는 기준외의 사항에 대하여는 산업통상자원부장관이 별도로 정하는 기준이하로 하여야 한다.제195조(갱수ㆍ폐수의 관리 및 준수사항) 갱수 및 폐수로 인한 광해를 방지하기 위하여 광업권자 또는 조광권...
현장 조치 기준: 작업 전 위험요인 확인, 작업중지·대피 기준, 보고·기록 절차, 보호구·환기·가스측정·분진 저감조치 여부 확인</x:v>
      </x:c>
      <x:c r="O103" s="13" t="str">
        <x:v>1차 자동 평가(rule-based, chroma)</x:v>
      </x:c>
    </x:row>
    <x:row r="104" ht="58" customHeight="1">
      <x:c r="A104" s="13" t="str">
        <x:v>Q103</x:v>
      </x:c>
      <x:c r="B104" s="13" t="str">
        <x:v>분진 관리</x:v>
      </x:c>
      <x:c r="C104" s="13" t="str">
        <x:v>파쇄 작업장에서 비산먼지가 주변 통로까지 퍼질 때 작업관리자는 어떤 통제조치를 해야 하나?</x:v>
      </x:c>
      <x:c r="D104" s="15" t="n">
        <x:v>11</x:v>
      </x:c>
      <x:c r="E104" s="15" t="n">
        <x:v>25</x:v>
      </x:c>
      <x:c r="F104" s="15" t="n">
        <x:v>24</x:v>
      </x:c>
      <x:c r="G104" s="15" t="n">
        <x:v>20</x:v>
      </x:c>
      <x:c r="H104" s="15" t="n">
        <x:v>80</x:v>
      </x:c>
      <x:c r="I104" s="16" t="str">
        <x:v>보통</x:v>
      </x:c>
      <x:c r="J104" s="13" t="str">
        <x:v>Y</x:v>
      </x:c>
      <x:c r="K104" s="13" t="str">
        <x:v>상위 근거 연관성 또는 키워드 매칭 보완 필요; 예상 키워드 0/8개 근거에서 확인; 근거 chunk 5개, 문서 4종 활용; 안전·법령 관련 핵심어 12개 반영; 현장 조치·확인 절차 관련 표현 8개 반영</x:v>
      </x:c>
      <x:c r="L104" s="13" t="str">
        <x:v>04_산업안전보건법_시행령.txt,05_산업안전보건법_시행규칙.txt,11_안전보건관리체계_구축_가이드북.txt,04_산업안전보건법_시행령.txt,03_산업안전보건법.txt</x:v>
      </x:c>
      <x:c r="M104" s="13" t="str">
        <x:v>chunk_00111,chunk_00207,chunk_00422,chunk_00120,chunk_00020</x:v>
      </x:c>
      <x:c r="N104" s="13" t="str">
        <x:v>1차 자동 평가용 답변 초안
질문: 파쇄 작업장에서 비산먼지가 주변 통로까지 퍼질 때 작업관리자는 어떤 통제조치를 해야 하나?
근거 요약: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- 05_산업안전보건법_시행규칙.txt | chunk_id chunk_00207 | 경력이 5년 이상인 사람 3. 「국가기술자격법」에 따른 기계ㆍ전기ㆍ전자ㆍ화공 또는 산업안전 분야에서 기능사 이상의 자격을 취득한 후 해 당 분야의 실무경력이 7년 이상인 사람 4. 「고등교육법」 제2조에 따른 학교 중 수업연한이 4년인 학교(같은 법 및 다른 법령에 따라 이와 같은 수준 이상의 학력이 인정되는 학교를 포함한다)에서 기계ㆍ전기ㆍ전자ㆍ화공 또는 산업안전 분야의 관련 학과를 졸업한 후 해당 분야의 실무경력이 3년 이상인 사람 5. 「고등교육법」에 따른...
- 11_안전보건관리체계_구축_가이드북.txt | chunk_id chunk_00422 | 수립 및 훈련 ===== PAGE 151 ===== 150 memo ===== PAGE 152 ===== 151 ===== PAGE 153 ===== 발 행 일 2021년 8월 기 획 고용노동부 산업안전보건본부(본부장 권기섭) 제 작 산재예방감독정책관 김규석, 산재예방지원과장 금정수, 서기관 박상원, 사무관 김대원, 근로감독관 정상은/김시현 취재·디자인 초이스컴(주) 070-4245-9599 산업재해 예방을 위한 안전보건관리체계 가이드북 ===== PAGE 15...
- 04_산업안전보건법_시행령.txt | chunk_id chunk_00120 | 학사고예방관리계획서 사본의 제출로 갈음할 수 있다. &lt;개정 2020. 9. 8., 2025. 10. 1.&gt; ② 제1항 전단에도 불구하고 사업주가 제출해야 할 공정안전보고서가 「고압가스 안전관리법」 제2조에 따른 고압가 스를 사용하는 단위공정 설비에 관한 것인 경우로서 해당 사업주가 같은 법 제11조에 따른 안전관리규정과 같은 법 제13조의2에 따른 안전성향상계획을 작성하여 공단 및 같은 법 제28조에 따른 한국가스안전공사가 공동으로 검토 ㆍ작성한 의견서를 첨부하...
- 03_산업안전보건법.txt | chunk_id chunk_00020 | 건 정책의 수립 및 집행 2. 산업재해 예방 지원 및 지도 3. 「근로기준법」 제76조의2에 따른 직장 내 괴롭힘 예방을 위한 조치기준 마련, 지도 및 지원 4. 사업주의 자율적인 산업 안전 및 보건 경영체제 확립을 위한 지원 5. 산업 안전 및 보건에 관한 의식을 북돋우기 위한 홍보ㆍ교육 등 안전문화 확산 추진 6. 산업 안전 및 보건에 관한 기술의 연구ㆍ개발 및 시설의 설치ㆍ운영 7. 산업재해에 관한 조사 및 통계의 유지ㆍ관리 8. 산업 안전 및 보건 관련 ...
현장 조치 기준: 작업 전 위험요인 확인, 작업중지·대피 기준, 보고·기록 절차, 보호구·환기·가스측정·분진 저감조치 여부 확인</x:v>
      </x:c>
      <x:c r="O104" s="13" t="str">
        <x:v>1차 자동 평가(rule-based, chroma)</x:v>
      </x:c>
    </x:row>
    <x:row r="105" ht="58" customHeight="1">
      <x:c r="A105" s="13" t="str">
        <x:v>Q104</x:v>
      </x:c>
      <x:c r="B105" s="13" t="str">
        <x:v>분진 관리</x:v>
      </x:c>
      <x:c r="C105" s="13" t="str">
        <x:v>분진이 많이 쌓인 작업장 바닥을 청소하기 전에 관리자가 확인해야 할 안전조치는 무엇인가?</x:v>
      </x:c>
      <x:c r="D105" s="15" t="n">
        <x:v>11</x:v>
      </x:c>
      <x:c r="E105" s="15" t="n">
        <x:v>25</x:v>
      </x:c>
      <x:c r="F105" s="15" t="n">
        <x:v>25</x:v>
      </x:c>
      <x:c r="G105" s="15" t="n">
        <x:v>22</x:v>
      </x:c>
      <x:c r="H105" s="15" t="n">
        <x:v>83</x:v>
      </x:c>
      <x:c r="I105" s="16" t="str">
        <x:v>보통</x:v>
      </x:c>
      <x:c r="J105" s="13" t="str">
        <x:v>Y</x:v>
      </x:c>
      <x:c r="K105" s="13" t="str">
        <x:v>상위 근거 연관성 또는 키워드 매칭 보완 필요; 예상 키워드 0/8개 근거에서 확인; 근거 chunk 5개, 문서 4종 활용; 안전·법령 관련 핵심어 14개 반영; 현장 조치·확인 절차 관련 표현 10개 반영</x:v>
      </x:c>
      <x:c r="L105" s="13" t="str">
        <x:v>04_산업안전보건법_시행령.txt,04_산업안전보건법_시행령.txt,05_산업안전보건법_시행규칙.txt,11_안전보건관리체계_구축_가이드북.txt,10_광산안전업무_처리지침_2025-35_latest.txt</x:v>
      </x:c>
      <x:c r="M105" s="13" t="str">
        <x:v>chunk_00111,chunk_00120,chunk_00166,chunk_00410,chunk_00346</x:v>
      </x:c>
      <x:c r="N105" s="13" t="str">
        <x:v>1차 자동 평가용 답변 초안
질문: 분진이 많이 쌓인 작업장 바닥을 청소하기 전에 관리자가 확인해야 할 안전조치는 무엇인가?
근거 요약: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- 04_산업안전보건법_시행령.txt | chunk_id chunk_00120 | 학사고예방관리계획서 사본의 제출로 갈음할 수 있다. &lt;개정 2020. 9. 8., 2025. 10. 1.&gt; ② 제1항 전단에도 불구하고 사업주가 제출해야 할 공정안전보고서가 「고압가스 안전관리법」 제2조에 따른 고압가 스를 사용하는 단위공정 설비에 관한 것인 경우로서 해당 사업주가 같은 법 제11조에 따른 안전관리규정과 같은 법 제13조의2에 따른 안전성향상계획을 작성하여 공단 및 같은 법 제28조에 따른 한국가스안전공사가 공동으로 검토 ㆍ작성한 의견서를 첨부하...
- 05_산업안전보건법_시행규칙.txt | chunk_id chunk_00166 | 정하여 고시한다.&lt;신설 2023. 9. 27.&gt; 제32조(안전보건교육기관의 평가 등) ① 공단이 법 제33조제2항에 따라 안전보건교육기관을 평가하는 기준은 다음 각 호와 같다. 1. 인력ㆍ시설 및 장비의 보유수준과 활용도 2. 교육과정의 운영체계 및 업무성과 3. 교육서비스의 적정성 및 만족도 ② 제1항에 따른 안전보건교육기관에 대한 평가 방법 및 평가 결과의 공개에 관하여는 제17조제2항부터 제8항까지 의 규정을 준용한다. 이 경우 “안전관리전문기관 또는 보건...
- 11_안전보건관리체계_구축_가이드북.txt | chunk_id chunk_00410 | 및 시행령 입법예고안 제5조제2항&gt; 113 ===== PAGE 115 ===== 114 주요사업 석유수지 제조 설립연도 1957년 대 표 자 장희구 근로자 수 154명 소 재 지 울산시 남구 사평로 33 코오롱인더스트리㈜ 울산공장 ===== PAGE 116 ===== 115 화학소재 전문기업인 코오롱인더스트리㈜는 자동차 타이어, 차선용 도료, 페인트, 기저귀용 접착제, 테이프/라벨, 글루건 등 각종 접착제 원료를 생산한다. 근로자의 안전과 재해 예방을 위해 20...
- 10_광산안전업무_처리지침_2025-35_latest.txt | chunk_id chunk_00346 | 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
현장 조치 기준: 작업 전 위험요인 확인, 작업중지·대피 기준, 보고·기록 절차, 보호구·환기·가스측정·분진 저감조치 여부 확인</x:v>
      </x:c>
      <x:c r="O105" s="13" t="str">
        <x:v>1차 자동 평가(rule-based, chroma)</x:v>
      </x:c>
    </x:row>
    <x:row r="106" ht="58" customHeight="1">
      <x:c r="A106" s="13" t="str">
        <x:v>Q105</x:v>
      </x:c>
      <x:c r="B106" s="13" t="str">
        <x:v>분진 관리</x:v>
      </x:c>
      <x:c r="C106" s="13" t="str">
        <x:v>작업환경측정 결과 분진 관리가 필요하다고 판단되면 작업 전 회의에서 어떤 내용을 공유해야 하나?</x:v>
      </x:c>
      <x:c r="D106" s="15" t="n">
        <x:v>12</x:v>
      </x:c>
      <x:c r="E106" s="15" t="n">
        <x:v>25</x:v>
      </x:c>
      <x:c r="F106" s="15" t="n">
        <x:v>25</x:v>
      </x:c>
      <x:c r="G106" s="15" t="n">
        <x:v>21</x:v>
      </x:c>
      <x:c r="H106" s="15" t="n">
        <x:v>83</x:v>
      </x:c>
      <x:c r="I106" s="16" t="str">
        <x:v>보통</x:v>
      </x:c>
      <x:c r="J106" s="13" t="str">
        <x:v>Y</x:v>
      </x:c>
      <x:c r="K106" s="13" t="str">
        <x:v>상위 근거 연관성 또는 키워드 매칭 보완 필요; 예상 키워드 1/6개 근거에서 확인; 근거 chunk 5개, 문서 3종 활용; 안전·법령 관련 핵심어 13개 반영; 현장 조치·확인 절차 관련 표현 9개 반영</x:v>
      </x:c>
      <x:c r="L106" s="13" t="str">
        <x:v>05_산업안전보건법_시행규칙.txt,04_산업안전보건법_시행령.txt,11_안전보건관리체계_구축_가이드북.txt,04_산업안전보건법_시행령.txt,11_안전보건관리체계_구축_가이드북.txt</x:v>
      </x:c>
      <x:c r="M106" s="13" t="str">
        <x:v>chunk_00207,chunk_00111,chunk_00410,chunk_00120,chunk_00422</x:v>
      </x:c>
      <x:c r="N106" s="13" t="str">
        <x:v>1차 자동 평가용 답변 초안
질문: 작업환경측정 결과 분진 관리가 필요하다고 판단되면 작업 전 회의에서 어떤 내용을 공유해야 하나?
근거 요약:
- 05_산업안전보건법_시행규칙.txt | chunk_id chunk_00207 | 경력이 5년 이상인 사람 3. 「국가기술자격법」에 따른 기계ㆍ전기ㆍ전자ㆍ화공 또는 산업안전 분야에서 기능사 이상의 자격을 취득한 후 해 당 분야의 실무경력이 7년 이상인 사람 4. 「고등교육법」 제2조에 따른 학교 중 수업연한이 4년인 학교(같은 법 및 다른 법령에 따라 이와 같은 수준 이상의 학력이 인정되는 학교를 포함한다)에서 기계ㆍ전기ㆍ전자ㆍ화공 또는 산업안전 분야의 관련 학과를 졸업한 후 해당 분야의 실무경력이 3년 이상인 사람 5. 「고등교육법」에 따른...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- 11_안전보건관리체계_구축_가이드북.txt | chunk_id chunk_00410 | 및 시행령 입법예고안 제5조제2항&gt; 113 ===== PAGE 115 ===== 114 주요사업 석유수지 제조 설립연도 1957년 대 표 자 장희구 근로자 수 154명 소 재 지 울산시 남구 사평로 33 코오롱인더스트리㈜ 울산공장 ===== PAGE 116 ===== 115 화학소재 전문기업인 코오롱인더스트리㈜는 자동차 타이어, 차선용 도료, 페인트, 기저귀용 접착제, 테이프/라벨, 글루건 등 각종 접착제 원료를 생산한다. 근로자의 안전과 재해 예방을 위해 20...
- 04_산업안전보건법_시행령.txt | chunk_id chunk_00120 | 학사고예방관리계획서 사본의 제출로 갈음할 수 있다. &lt;개정 2020. 9. 8., 2025. 10. 1.&gt; ② 제1항 전단에도 불구하고 사업주가 제출해야 할 공정안전보고서가 「고압가스 안전관리법」 제2조에 따른 고압가 스를 사용하는 단위공정 설비에 관한 것인 경우로서 해당 사업주가 같은 법 제11조에 따른 안전관리규정과 같은 법 제13조의2에 따른 안전성향상계획을 작성하여 공단 및 같은 법 제28조에 따른 한국가스안전공사가 공동으로 검토 ㆍ작성한 의견서를 첨부하...
- 11_안전보건관리체계_구축_가이드북.txt | chunk_id chunk_00422 | 수립 및 훈련 ===== PAGE 151 ===== 150 memo ===== PAGE 152 ===== 151 ===== PAGE 153 ===== 발 행 일 2021년 8월 기 획 고용노동부 산업안전보건본부(본부장 권기섭) 제 작 산재예방감독정책관 김규석, 산재예방지원과장 금정수, 서기관 박상원, 사무관 김대원, 근로감독관 정상은/김시현 취재·디자인 초이스컴(주) 070-4245-9599 산업재해 예방을 위한 안전보건관리체계 가이드북 ===== PAGE 15...
현장 조치 기준: 작업 전 위험요인 확인, 작업중지·대피 기준, 보고·기록 절차, 보호구·환기·가스측정·분진 저감조치 여부 확인</x:v>
      </x:c>
      <x:c r="O106" s="13" t="str">
        <x:v>1차 자동 평가(rule-based, chroma)</x:v>
      </x:c>
    </x:row>
    <x:row r="107" ht="58" customHeight="1">
      <x:c r="A107" s="13" t="str">
        <x:v>Q106</x:v>
      </x:c>
      <x:c r="B107" s="13" t="str">
        <x:v>보호구/PPE</x:v>
      </x:c>
      <x:c r="C107" s="13" t="str">
        <x:v>작업 시작 전 방진마스크를 지급할 때 관리자가 착용 적합성을 어떻게 확인해야 하나?</x:v>
      </x:c>
      <x:c r="D107" s="15" t="n">
        <x:v>12</x:v>
      </x:c>
      <x:c r="E107" s="15" t="n">
        <x:v>25</x:v>
      </x:c>
      <x:c r="F107" s="15" t="n">
        <x:v>25</x:v>
      </x:c>
      <x:c r="G107" s="15" t="n">
        <x:v>23</x:v>
      </x:c>
      <x:c r="H107" s="15" t="n">
        <x:v>85</x:v>
      </x:c>
      <x:c r="I107" s="16" t="str">
        <x:v>우수</x:v>
      </x:c>
      <x:c r="J107" s="13" t="str">
        <x:v>Y</x:v>
      </x:c>
      <x:c r="K107" s="13" t="str">
        <x:v>상위 근거 연관성 또는 키워드 매칭 보완 필요; 예상 키워드 2/7개 근거에서 확인; 근거 chunk 5개, 문서 3종 활용; 안전·법령 관련 핵심어 14개 반영; 현장 조치·확인 절차 관련 표현 11개 반영</x:v>
      </x:c>
      <x:c r="L107" s="13" t="str">
        <x:v>11_안전보건관리체계_구축_가이드북.txt,04_산업안전보건법_시행령.txt,11_안전보건관리체계_구축_가이드북.txt,04_산업안전보건법_시행령.txt,13_2023_새로운_위험성평가_안내서.txt</x:v>
      </x:c>
      <x:c r="M107" s="13" t="str">
        <x:v>chunk_00410,chunk_00111,chunk_00422,chunk_00120,chunk_00431</x:v>
      </x:c>
      <x:c r="N107" s="13" t="str">
        <x:v>1차 자동 평가용 답변 초안
질문: 작업 시작 전 방진마스크를 지급할 때 관리자가 착용 적합성을 어떻게 확인해야 하나?
근거 요약:
- 11_안전보건관리체계_구축_가이드북.txt | chunk_id chunk_00410 | 및 시행령 입법예고안 제5조제2항&gt; 113 ===== PAGE 115 ===== 114 주요사업 석유수지 제조 설립연도 1957년 대 표 자 장희구 근로자 수 154명 소 재 지 울산시 남구 사평로 33 코오롱인더스트리㈜ 울산공장 ===== PAGE 116 ===== 115 화학소재 전문기업인 코오롱인더스트리㈜는 자동차 타이어, 차선용 도료, 페인트, 기저귀용 접착제, 테이프/라벨, 글루건 등 각종 접착제 원료를 생산한다. 근로자의 안전과 재해 예방을 위해 20...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- 11_안전보건관리체계_구축_가이드북.txt | chunk_id chunk_00422 | 수립 및 훈련 ===== PAGE 151 ===== 150 memo ===== PAGE 152 ===== 151 ===== PAGE 153 ===== 발 행 일 2021년 8월 기 획 고용노동부 산업안전보건본부(본부장 권기섭) 제 작 산재예방감독정책관 김규석, 산재예방지원과장 금정수, 서기관 박상원, 사무관 김대원, 근로감독관 정상은/김시현 취재·디자인 초이스컴(주) 070-4245-9599 산업재해 예방을 위한 안전보건관리체계 가이드북 ===== PAGE 15...
- 04_산업안전보건법_시행령.txt | chunk_id chunk_00120 | 학사고예방관리계획서 사본의 제출로 갈음할 수 있다. &lt;개정 2020. 9. 8., 2025. 10. 1.&gt; ② 제1항 전단에도 불구하고 사업주가 제출해야 할 공정안전보고서가 「고압가스 안전관리법」 제2조에 따른 고압가 스를 사용하는 단위공정 설비에 관한 것인 경우로서 해당 사업주가 같은 법 제11조에 따른 안전관리규정과 같은 법 제13조의2에 따른 안전성향상계획을 작성하여 공단 및 같은 법 제28조에 따른 한국가스안전공사가 공동으로 검토 ㆍ작성한 의견서를 첨부하...
- 13_2023_새로운_위험성평가_안내서.txt | chunk_id chunk_00431 | 성평가의 핵심 포인트 ……………………… 23 PART Ⅱ 위험성평가의 실시 … 27 01. 위험성평가의 실시 주체 ………………………… 28 02. 위험성평가의 대상 ……………………………… 32 03. 근로자의 참여 …………………………………… 35 04. 위험성평가의 방법 ……………………………… 38 05. 위험성평가의 시기 ……………………………… 64 PART Ⅲ 위험성평가 절차별 중점사항 … 75 01. 사전준비 ………………………………………… 77 02. 유해...
현장 조치 기준: 작업 전 위험요인 확인, 작업중지·대피 기준, 보고·기록 절차, 보호구·환기·가스측정·분진 저감조치 여부 확인</x:v>
      </x:c>
      <x:c r="O107" s="13" t="str">
        <x:v>1차 자동 평가(rule-based, chroma)</x:v>
      </x:c>
    </x:row>
    <x:row r="108" ht="58" customHeight="1">
      <x:c r="A108" s="13" t="str">
        <x:v>Q107</x:v>
      </x:c>
      <x:c r="B108" s="13" t="str">
        <x:v>보호구/PPE</x:v>
      </x:c>
      <x:c r="C108" s="13" t="str">
        <x:v>작업자가 안전모를 착용했지만 턱끈을 하지 않은 경우 관리자는 어떻게 조치해야 하나?</x:v>
      </x:c>
      <x:c r="D108" s="15" t="n">
        <x:v>12</x:v>
      </x:c>
      <x:c r="E108" s="15" t="n">
        <x:v>25</x:v>
      </x:c>
      <x:c r="F108" s="15" t="n">
        <x:v>25</x:v>
      </x:c>
      <x:c r="G108" s="15" t="n">
        <x:v>23</x:v>
      </x:c>
      <x:c r="H108" s="15" t="n">
        <x:v>85</x:v>
      </x:c>
      <x:c r="I108" s="16" t="str">
        <x:v>우수</x:v>
      </x:c>
      <x:c r="J108" s="13" t="str">
        <x:v>Y</x:v>
      </x:c>
      <x:c r="K108" s="13" t="str">
        <x:v>상위 근거 연관성 또는 키워드 매칭 보완 필요; 예상 키워드 1/7개 근거에서 확인; 근거 chunk 5개, 문서 4종 활용; 안전·법령 관련 핵심어 13개 반영; 현장 조치·확인 절차 관련 표현 11개 반영</x:v>
      </x:c>
      <x:c r="L108" s="13" t="str">
        <x:v>11_안전보건관리체계_구축_가이드북.txt,11_안전보건관리체계_구축_가이드북.txt,04_산업안전보건법_시행령.txt,13_2023_새로운_위험성평가_안내서.txt,05_산업안전보건법_시행규칙.txt</x:v>
      </x:c>
      <x:c r="M108" s="13" t="str">
        <x:v>chunk_00410,chunk_00422,chunk_00111,chunk_00436,chunk_00207</x:v>
      </x:c>
      <x:c r="N108" s="13" t="str">
        <x:v>1차 자동 평가용 답변 초안
질문: 작업자가 안전모를 착용했지만 턱끈을 하지 않은 경우 관리자는 어떻게 조치해야 하나?
근거 요약:
- 11_안전보건관리체계_구축_가이드북.txt | chunk_id chunk_00410 | 및 시행령 입법예고안 제5조제2항&gt; 113 ===== PAGE 115 ===== 114 주요사업 석유수지 제조 설립연도 1957년 대 표 자 장희구 근로자 수 154명 소 재 지 울산시 남구 사평로 33 코오롱인더스트리㈜ 울산공장 ===== PAGE 116 ===== 115 화학소재 전문기업인 코오롱인더스트리㈜는 자동차 타이어, 차선용 도료, 페인트, 기저귀용 접착제, 테이프/라벨, 글루건 등 각종 접착제 원료를 생산한다. 근로자의 안전과 재해 예방을 위해 20...
- 11_안전보건관리체계_구축_가이드북.txt | chunk_id chunk_00422 | 수립 및 훈련 ===== PAGE 151 ===== 150 memo ===== PAGE 152 ===== 151 ===== PAGE 153 ===== 발 행 일 2021년 8월 기 획 고용노동부 산업안전보건본부(본부장 권기섭) 제 작 산재예방감독정책관 김규석, 산재예방지원과장 금정수, 서기관 박상원, 사무관 김대원, 근로감독관 정상은/김시현 취재·디자인 초이스컴(주) 070-4245-9599 산업재해 예방을 위한 안전보건관리체계 가이드북 ===== PAGE 15...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- 13_2023_새로운_위험성평가_안내서.txt | chunk_id chunk_00436 | 위험성 결정 ⑤위험방지대책 ⑥개선조치 담당자 (조치예정일) ➉이행확인 (조치한 경우 √)위험도 등급 상상 등등급급 :: 대대책책 우우선선 순순위위 :: 공공법법변변경경→→작작업업변변경경→→안안전전시시설설물물→→개개인인보보호호구구 순순 중중 등등급급 :: 대대책책 우우선선 순순위위 :: 관관리리자자 배배치치((신신호호수수 등등)) →→ 위위험험저저감감 교교육육 등등 근로자대표 공사담당자상 중 하 철근작업 철근조립 8층 기둥철근조립 중 틀비계 안전난간대 미 설치로 ...
- 05_산업안전보건법_시행규칙.txt | chunk_id chunk_00207 | 경력이 5년 이상인 사람 3. 「국가기술자격법」에 따른 기계ㆍ전기ㆍ전자ㆍ화공 또는 산업안전 분야에서 기능사 이상의 자격을 취득한 후 해 당 분야의 실무경력이 7년 이상인 사람 4. 「고등교육법」 제2조에 따른 학교 중 수업연한이 4년인 학교(같은 법 및 다른 법령에 따라 이와 같은 수준 이상의 학력이 인정되는 학교를 포함한다)에서 기계ㆍ전기ㆍ전자ㆍ화공 또는 산업안전 분야의 관련 학과를 졸업한 후 해당 분야의 실무경력이 3년 이상인 사람 5. 「고등교육법」에 따른...
현장 조치 기준: 작업 전 위험요인 확인, 작업중지·대피 기준, 보고·기록 절차, 보호구·환기·가스측정·분진 저감조치 여부 확인</x:v>
      </x:c>
      <x:c r="O108" s="13" t="str">
        <x:v>1차 자동 평가(rule-based, chroma)</x:v>
      </x:c>
    </x:row>
    <x:row r="109" ht="58" customHeight="1">
      <x:c r="A109" s="13" t="str">
        <x:v>Q108</x:v>
      </x:c>
      <x:c r="B109" s="13" t="str">
        <x:v>보호구/PPE</x:v>
      </x:c>
      <x:c r="C109" s="13" t="str">
        <x:v>보호장갑이나 보안경이 파손된 상태로 작업하려는 작업자가 있을 때 관리자는 무엇을 확인해야 하나?</x:v>
      </x:c>
      <x:c r="D109" s="15" t="n">
        <x:v>12</x:v>
      </x:c>
      <x:c r="E109" s="15" t="n">
        <x:v>25</x:v>
      </x:c>
      <x:c r="F109" s="15" t="n">
        <x:v>25</x:v>
      </x:c>
      <x:c r="G109" s="15" t="n">
        <x:v>23</x:v>
      </x:c>
      <x:c r="H109" s="15" t="n">
        <x:v>85</x:v>
      </x:c>
      <x:c r="I109" s="16" t="str">
        <x:v>우수</x:v>
      </x:c>
      <x:c r="J109" s="13" t="str">
        <x:v>Y</x:v>
      </x:c>
      <x:c r="K109" s="13" t="str">
        <x:v>상위 근거 연관성 또는 키워드 매칭 보완 필요; 예상 키워드 1/8개 근거에서 확인; 근거 chunk 5개, 문서 4종 활용; 안전·법령 관련 핵심어 14개 반영; 현장 조치·확인 절차 관련 표현 11개 반영</x:v>
      </x:c>
      <x:c r="L109" s="13" t="str">
        <x:v>11_안전보건관리체계_구축_가이드북.txt,05_산업안전보건법_시행규칙.txt,11_안전보건관리체계_구축_가이드북.txt,04_산업안전보건법_시행령.txt,10_광산안전업무_처리지침_2025-35_latest.txt</x:v>
      </x:c>
      <x:c r="M109" s="13" t="str">
        <x:v>chunk_00410,chunk_00207,chunk_00422,chunk_00111,chunk_00359</x:v>
      </x:c>
      <x:c r="N109" s="13" t="str">
        <x:v>1차 자동 평가용 답변 초안
질문: 보호장갑이나 보안경이 파손된 상태로 작업하려는 작업자가 있을 때 관리자는 무엇을 확인해야 하나?
근거 요약:
- 11_안전보건관리체계_구축_가이드북.txt | chunk_id chunk_00410 | 및 시행령 입법예고안 제5조제2항&gt; 113 ===== PAGE 115 ===== 114 주요사업 석유수지 제조 설립연도 1957년 대 표 자 장희구 근로자 수 154명 소 재 지 울산시 남구 사평로 33 코오롱인더스트리㈜ 울산공장 ===== PAGE 116 ===== 115 화학소재 전문기업인 코오롱인더스트리㈜는 자동차 타이어, 차선용 도료, 페인트, 기저귀용 접착제, 테이프/라벨, 글루건 등 각종 접착제 원료를 생산한다. 근로자의 안전과 재해 예방을 위해 20...
- 05_산업안전보건법_시행규칙.txt | chunk_id chunk_00207 | 경력이 5년 이상인 사람 3. 「국가기술자격법」에 따른 기계ㆍ전기ㆍ전자ㆍ화공 또는 산업안전 분야에서 기능사 이상의 자격을 취득한 후 해 당 분야의 실무경력이 7년 이상인 사람 4. 「고등교육법」 제2조에 따른 학교 중 수업연한이 4년인 학교(같은 법 및 다른 법령에 따라 이와 같은 수준 이상의 학력이 인정되는 학교를 포함한다)에서 기계ㆍ전기ㆍ전자ㆍ화공 또는 산업안전 분야의 관련 학과를 졸업한 후 해당 분야의 실무경력이 3년 이상인 사람 5. 「고등교육법」에 따른...
- 11_안전보건관리체계_구축_가이드북.txt | chunk_id chunk_00422 | 수립 및 훈련 ===== PAGE 151 ===== 150 memo ===== PAGE 152 ===== 151 ===== PAGE 153 ===== 발 행 일 2021년 8월 기 획 고용노동부 산업안전보건본부(본부장 권기섭) 제 작 산재예방감독정책관 김규석, 산재예방지원과장 금정수, 서기관 박상원, 사무관 김대원, 근로감독관 정상은/김시현 취재·디자인 초이스컴(주) 070-4245-9599 산업재해 예방을 위한 안전보건관리체계 가이드북 ===== PAGE 15...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- 10_광산안전업무_처리지침_2025-35_latest.txt | chunk_id chunk_00359 | 광산명: 나. 소재지: (전화 : ) 다. 광업권자(조광권자) 라. 광종: (전년도 생산량 : 톤) 마. 근로자 수:3. 기타 참고사항: ※사고접수: 시간 접수자 보고자(현장) ※본부보고: 시간 보고자 접수자(본부) - 36 - ■ 광산안전업무처리지침 [별지 제8호서식]광업시설검사증 재발급신청서처리기간7일신청인①상호 또는 명칭②대 표 자 ③생년월일④주 소 (전화 : )광업권⑤광 산 명 ⑥등 록 번 호⑦소 재 지 (전화 : )⑧광 종 명⑨최초 또는 전회검 사 증 ...
현장 조치 기준: 작업 전 위험요인 확인, 작업중지·대피 기준, 보고·기록 절차, 보호구·환기·가스측정·분진 저감조치 여부 확인</x:v>
      </x:c>
      <x:c r="O109" s="13" t="str">
        <x:v>1차 자동 평가(rule-based, chroma)</x:v>
      </x:c>
    </x:row>
    <x:row r="110" ht="58" customHeight="1">
      <x:c r="A110" s="13" t="str">
        <x:v>Q109</x:v>
      </x:c>
      <x:c r="B110" s="13" t="str">
        <x:v>보호구/PPE</x:v>
      </x:c>
      <x:c r="C110" s="13" t="str">
        <x:v>유해가스 측정 작업 전에 작업자에게 필요한 보호구와 착용 상태를 어떻게 확인해야 하나?</x:v>
      </x:c>
      <x:c r="D110" s="15" t="n">
        <x:v>12</x:v>
      </x:c>
      <x:c r="E110" s="15" t="n">
        <x:v>25</x:v>
      </x:c>
      <x:c r="F110" s="15" t="n">
        <x:v>25</x:v>
      </x:c>
      <x:c r="G110" s="15" t="n">
        <x:v>24</x:v>
      </x:c>
      <x:c r="H110" s="15" t="n">
        <x:v>86</x:v>
      </x:c>
      <x:c r="I110" s="16" t="str">
        <x:v>우수</x:v>
      </x:c>
      <x:c r="J110" s="13" t="str">
        <x:v>Y</x:v>
      </x:c>
      <x:c r="K110" s="13" t="str">
        <x:v>상위 근거 연관성 또는 키워드 매칭 보완 필요; 예상 키워드 1/7개 근거에서 확인; 근거 chunk 5개, 문서 4종 활용; 안전·법령 관련 핵심어 14개 반영; 현장 조치·확인 절차 관련 표현 12개 반영</x:v>
      </x:c>
      <x:c r="L110" s="13" t="str">
        <x:v>04_산업안전보건법_시행령.txt,05_산업안전보건법_시행규칙.txt,11_안전보건관리체계_구축_가이드북.txt,11_안전보건관리체계_구축_가이드북.txt,03_산업안전보건법.txt</x:v>
      </x:c>
      <x:c r="M110" s="13" t="str">
        <x:v>chunk_00111,chunk_00207,chunk_00422,chunk_00410,chunk_00075</x:v>
      </x:c>
      <x:c r="N110" s="13" t="str">
        <x:v>1차 자동 평가용 답변 초안
질문: 유해가스 측정 작업 전에 작업자에게 필요한 보호구와 착용 상태를 어떻게 확인해야 하나?
근거 요약: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- 05_산업안전보건법_시행규칙.txt | chunk_id chunk_00207 | 경력이 5년 이상인 사람 3. 「국가기술자격법」에 따른 기계ㆍ전기ㆍ전자ㆍ화공 또는 산업안전 분야에서 기능사 이상의 자격을 취득한 후 해 당 분야의 실무경력이 7년 이상인 사람 4. 「고등교육법」 제2조에 따른 학교 중 수업연한이 4년인 학교(같은 법 및 다른 법령에 따라 이와 같은 수준 이상의 학력이 인정되는 학교를 포함한다)에서 기계ㆍ전기ㆍ전자ㆍ화공 또는 산업안전 분야의 관련 학과를 졸업한 후 해당 분야의 실무경력이 3년 이상인 사람 5. 「고등교육법」에 따른...
- 11_안전보건관리체계_구축_가이드북.txt | chunk_id chunk_00422 | 수립 및 훈련 ===== PAGE 151 ===== 150 memo ===== PAGE 152 ===== 151 ===== PAGE 153 ===== 발 행 일 2021년 8월 기 획 고용노동부 산업안전보건본부(본부장 권기섭) 제 작 산재예방감독정책관 김규석, 산재예방지원과장 금정수, 서기관 박상원, 사무관 김대원, 근로감독관 정상은/김시현 취재·디자인 초이스컴(주) 070-4245-9599 산업재해 예방을 위한 안전보건관리체계 가이드북 ===== PAGE 15...
- 11_안전보건관리체계_구축_가이드북.txt | chunk_id chunk_00410 | 및 시행령 입법예고안 제5조제2항&gt; 113 ===== PAGE 115 ===== 114 주요사업 석유수지 제조 설립연도 1957년 대 표 자 장희구 근로자 수 154명 소 재 지 울산시 남구 사평로 33 코오롱인더스트리㈜ 울산공장 ===== PAGE 116 ===== 115 화학소재 전문기업인 코오롱인더스트리㈜는 자동차 타이어, 차선용 도료, 페인트, 기저귀용 접착제, 테이프/라벨, 글루건 등 각종 접착제 원료를 생산한다. 근로자의 안전과 재해 예방을 위해 20...
- 03_산업안전보건법.txt | chunk_id chunk_00075 | 지식이나 숙련도가 요구되 는 고용노동부령으로 정하는 작업의 경우 그 작업에 필요한 자격ㆍ면허ㆍ경험 또는 기능을 가진 근로자가 아닌 사 람에게 그 작업을 하게 해서는 아니 된다. ② 고용노동부장관은 제1항에 따른 자격ㆍ면허의 취득 또는 근로자의 기능 습득을 위하여 교육기관을 지정할 수 있 다. ③ 제1항에 따른 자격ㆍ면허ㆍ경험ㆍ기능, 제2항에 따른 교육기관의 지정 요건 및 지정 절차, 그 밖에 필요한 사항 은 고용노동부령으로 정한다. ④ 제2항에 따른 교육기관에 ...
현장 조치 기준: 작업 전 위험요인 확인, 작업중지·대피 기준, 보고·기록 절차, 보호구·환기·가스측정·분진 저감조치 여부 확인</x:v>
      </x:c>
      <x:c r="O110" s="13" t="str">
        <x:v>1차 자동 평가(rule-based, chroma)</x:v>
      </x:c>
    </x:row>
    <x:row r="111" ht="58" customHeight="1">
      <x:c r="A111" s="13" t="str">
        <x:v>Q110</x:v>
      </x:c>
      <x:c r="B111" s="13" t="str">
        <x:v>보호구/PPE</x:v>
      </x:c>
      <x:c r="C111" s="13" t="str">
        <x:v>보호구를 지급했는데 작업자가 반복적으로 미착용하는 경우 관리자는 어떤 절차로 조치해야 하나?</x:v>
      </x:c>
      <x:c r="D111" s="15" t="n">
        <x:v>13</x:v>
      </x:c>
      <x:c r="E111" s="15" t="n">
        <x:v>25</x:v>
      </x:c>
      <x:c r="F111" s="15" t="n">
        <x:v>25</x:v>
      </x:c>
      <x:c r="G111" s="15" t="n">
        <x:v>24</x:v>
      </x:c>
      <x:c r="H111" s="15" t="n">
        <x:v>87</x:v>
      </x:c>
      <x:c r="I111" s="16" t="str">
        <x:v>우수</x:v>
      </x:c>
      <x:c r="J111" s="13" t="str">
        <x:v>Y</x:v>
      </x:c>
      <x:c r="K111" s="13" t="str">
        <x:v>상위 근거 연관성 또는 키워드 매칭 보완 필요; 예상 키워드 3/8개 근거에서 확인; 근거 chunk 5개, 문서 3종 활용; 안전·법령 관련 핵심어 13개 반영; 현장 조치·확인 절차 관련 표현 12개 반영</x:v>
      </x:c>
      <x:c r="L111" s="13" t="str">
        <x:v>05_산업안전보건법_시행규칙.txt,11_안전보건관리체계_구축_가이드북.txt,04_산업안전보건법_시행령.txt,11_안전보건관리체계_구축_가이드북.txt,04_산업안전보건법_시행령.txt</x:v>
      </x:c>
      <x:c r="M111" s="13" t="str">
        <x:v>chunk_00207,chunk_00422,chunk_00111,chunk_00410,chunk_00120</x:v>
      </x:c>
      <x:c r="N111" s="13" t="str">
        <x:v>1차 자동 평가용 답변 초안
질문: 보호구를 지급했는데 작업자가 반복적으로 미착용하는 경우 관리자는 어떤 절차로 조치해야 하나?
근거 요약:
- 05_산업안전보건법_시행규칙.txt | chunk_id chunk_00207 | 경력이 5년 이상인 사람 3. 「국가기술자격법」에 따른 기계ㆍ전기ㆍ전자ㆍ화공 또는 산업안전 분야에서 기능사 이상의 자격을 취득한 후 해 당 분야의 실무경력이 7년 이상인 사람 4. 「고등교육법」 제2조에 따른 학교 중 수업연한이 4년인 학교(같은 법 및 다른 법령에 따라 이와 같은 수준 이상의 학력이 인정되는 학교를 포함한다)에서 기계ㆍ전기ㆍ전자ㆍ화공 또는 산업안전 분야의 관련 학과를 졸업한 후 해당 분야의 실무경력이 3년 이상인 사람 5. 「고등교육법」에 따른...
- 11_안전보건관리체계_구축_가이드북.txt | chunk_id chunk_00422 | 수립 및 훈련 ===== PAGE 151 ===== 150 memo ===== PAGE 152 ===== 151 ===== PAGE 153 ===== 발 행 일 2021년 8월 기 획 고용노동부 산업안전보건본부(본부장 권기섭) 제 작 산재예방감독정책관 김규석, 산재예방지원과장 금정수, 서기관 박상원, 사무관 김대원, 근로감독관 정상은/김시현 취재·디자인 초이스컴(주) 070-4245-9599 산업재해 예방을 위한 안전보건관리체계 가이드북 ===== PAGE 15...
- 04_산업안전보건법_시행령.txt | chunk_id chunk_00111 | 9. 8.&gt; 1. 법 제29조에 따른 안전보건교육 실시에 관한 보좌 및 지도ㆍ조언 2. 법 제36조에 따른 위험성평가에 관한 보좌 및 지도ㆍ조언 3. 법 제125조에 따른 작업환경측정 및 개선에 관한 보좌 및 지도ㆍ조언 4. 법 제129조부터 제131조까지의 규정에 따른 각종 건강진단에 관한 보좌 및 지도ㆍ조언 5. 산업재해 발생의 원인 조사, 산업재해 통계의 기록 및 유지를 위한 보좌 및 지도ㆍ조언 6. 산업 안전ㆍ보건과 관련된 안전장치 및 보호구 구입 시 적...
- 11_안전보건관리체계_구축_가이드북.txt | chunk_id chunk_00410 | 및 시행령 입법예고안 제5조제2항&gt; 113 ===== PAGE 115 ===== 114 주요사업 석유수지 제조 설립연도 1957년 대 표 자 장희구 근로자 수 154명 소 재 지 울산시 남구 사평로 33 코오롱인더스트리㈜ 울산공장 ===== PAGE 116 ===== 115 화학소재 전문기업인 코오롱인더스트리㈜는 자동차 타이어, 차선용 도료, 페인트, 기저귀용 접착제, 테이프/라벨, 글루건 등 각종 접착제 원료를 생산한다. 근로자의 안전과 재해 예방을 위해 20...
- 04_산업안전보건법_시행령.txt | chunk_id chunk_00120 | 학사고예방관리계획서 사본의 제출로 갈음할 수 있다. &lt;개정 2020. 9. 8., 2025. 10. 1.&gt; ② 제1항 전단에도 불구하고 사업주가 제출해야 할 공정안전보고서가 「고압가스 안전관리법」 제2조에 따른 고압가 스를 사용하는 단위공정 설비에 관한 것인 경우로서 해당 사업주가 같은 법 제11조에 따른 안전관리규정과 같은 법 제13조의2에 따른 안전성향상계획을 작성하여 공단 및 같은 법 제28조에 따른 한국가스안전공사가 공동으로 검토 ㆍ작성한 의견서를 첨부하...
현장 조치 기준: 작업 전 위험요인 확인, 작업중지·대피 기준, 보고·기록 절차, 보호구·환기·가스측정·분진 저감조치 여부 확인</x:v>
      </x:c>
      <x:c r="O111" s="13" t="str">
        <x:v>1차 자동 평가(rule-based, chroma)</x:v>
      </x:c>
    </x:row>
  </x:sheetData>
  <x:conditionalFormatting sqref="D2:D111">
    <x:cfRule type="cellIs" dxfId="0" priority="1" operator="greaterThanOrEqual">
      <x:formula>21</x:formula>
    </x:cfRule>
    <x:cfRule type="cellIs" dxfId="1" priority="2" operator="between">
      <x:formula>18</x:formula>
      <x:formula>20</x:formula>
    </x:cfRule>
    <x:cfRule type="cellIs" dxfId="2" priority="3" operator="lessThan">
      <x:formula>18</x:formula>
    </x:cfRule>
  </x:conditionalFormatting>
  <x:conditionalFormatting sqref="E2:E111">
    <x:cfRule type="cellIs" dxfId="3" priority="4" operator="greaterThanOrEqual">
      <x:formula>21</x:formula>
    </x:cfRule>
    <x:cfRule type="cellIs" dxfId="4" priority="5" operator="between">
      <x:formula>18</x:formula>
      <x:formula>20</x:formula>
    </x:cfRule>
    <x:cfRule type="cellIs" dxfId="5" priority="6" operator="lessThan">
      <x:formula>18</x:formula>
    </x:cfRule>
  </x:conditionalFormatting>
  <x:conditionalFormatting sqref="F2:F111">
    <x:cfRule type="cellIs" dxfId="6" priority="7" operator="greaterThanOrEqual">
      <x:formula>21</x:formula>
    </x:cfRule>
    <x:cfRule type="cellIs" dxfId="7" priority="8" operator="between">
      <x:formula>18</x:formula>
      <x:formula>20</x:formula>
    </x:cfRule>
    <x:cfRule type="cellIs" dxfId="8" priority="9" operator="lessThan">
      <x:formula>18</x:formula>
    </x:cfRule>
  </x:conditionalFormatting>
  <x:conditionalFormatting sqref="G2:G111">
    <x:cfRule type="cellIs" dxfId="9" priority="10" operator="greaterThanOrEqual">
      <x:formula>21</x:formula>
    </x:cfRule>
    <x:cfRule type="cellIs" dxfId="10" priority="11" operator="between">
      <x:formula>18</x:formula>
      <x:formula>20</x:formula>
    </x:cfRule>
    <x:cfRule type="cellIs" dxfId="11" priority="12" operator="lessThan">
      <x:formula>18</x:formula>
    </x:cfRule>
  </x:conditionalFormatting>
  <x:conditionalFormatting sqref="H2:H111">
    <x:cfRule type="cellIs" dxfId="12" priority="13" operator="greaterThanOrEqual">
      <x:formula>85</x:formula>
    </x:cfRule>
    <x:cfRule type="cellIs" dxfId="13" priority="14" operator="between">
      <x:formula>70</x:formula>
      <x:formula>84</x:formula>
    </x:cfRule>
    <x:cfRule type="cellIs" dxfId="14" priority="15" operator="lessThan">
      <x:formula>70</x:formula>
    </x:cfRule>
  </x:conditionalFormatting>
  <x:conditionalFormatting sqref="J2:J111">
    <x:cfRule type="containsText" dxfId="15" priority="16" operator="containsText" text="Y"/>
    <x:cfRule type="containsText" dxfId="16" priority="17" operator="containsText" text="N"/>
  </x:conditionalFormatting>
  <x:pageMargins left="0.7" right="0.7" top="0.75" bottom="0.75" header="0.3" footer="0.3"/>
  <x:tableParts count="1">
    <x:tablePart xmlns:r="http://schemas.openxmlformats.org/officeDocument/2006/relationships" r:id="R493bf567bda84b1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55" hidden="0" customWidth="1"/>
    <x:col min="4" max="4" width="12" hidden="0" customWidth="1"/>
    <x:col min="5" max="5" width="12" hidden="0" customWidth="1"/>
    <x:col min="6" max="6" width="18" hidden="0" customWidth="1"/>
    <x:col min="7" max="7" width="10" hidden="0" customWidth="1"/>
    <x:col min="8" max="8" width="10" hidden="0" customWidth="1"/>
    <x:col min="9" max="9" width="12" hidden="0" customWidth="1"/>
    <x:col min="10" max="10" width="65" hidden="0" customWidth="1"/>
    <x:col min="11" max="11" width="55" hidden="0" customWidth="1"/>
  </x:cols>
  <x:sheetData>
    <x:row r="1">
      <x:c r="A1" s="9" t="str">
        <x:v>question_id</x:v>
      </x:c>
      <x:c r="B1" s="9" t="str">
        <x:v>category</x:v>
      </x:c>
      <x:c r="C1" s="9" t="str">
        <x:v>question</x:v>
      </x:c>
      <x:c r="D1" s="9" t="str">
        <x:v>검색_적합성</x:v>
      </x:c>
      <x:c r="E1" s="9" t="str">
        <x:v>근거_기반성</x:v>
      </x:c>
      <x:c r="F1" s="9" t="str">
        <x:v>안전법령_판단정확성</x:v>
      </x:c>
      <x:c r="G1" s="9" t="str">
        <x:v>실무성</x:v>
      </x:c>
      <x:c r="H1" s="9" t="str">
        <x:v>총점</x:v>
      </x:c>
      <x:c r="I1" s="9" t="str">
        <x:v>판정</x:v>
      </x:c>
      <x:c r="J1" s="9" t="str">
        <x:v>평가_근거</x:v>
      </x:c>
      <x:c r="K1" s="9" t="str">
        <x:v>retrieved_sources</x:v>
      </x:c>
    </x:row>
    <x:row r="2" ht="58" customHeight="1">
      <x:c r="A2" s="13" t="str">
        <x:v>Q005</x:v>
      </x:c>
      <x:c r="B2" s="13" t="str">
        <x:v>환기</x:v>
      </x:c>
      <x:c r="C2" s="13" t="str">
        <x:v>갱내 작업을 시작하기 전에 환기 상태가 충분한지 관리자가 확인해야 할 기준과 절차는 뭐야?</x:v>
      </x:c>
      <x:c r="D2" s="13" t="n">
        <x:v>15</x:v>
      </x:c>
      <x:c r="E2" s="13" t="n">
        <x:v>20</x:v>
      </x:c>
      <x:c r="F2" s="13" t="n">
        <x:v>20</x:v>
      </x:c>
      <x:c r="G2" s="13" t="n">
        <x:v>20</x:v>
      </x:c>
      <x:c r="H2" s="13" t="n">
        <x:v>75</x:v>
      </x:c>
      <x:c r="I2" s="16" t="str">
        <x:v>보통</x:v>
      </x:c>
      <x:c r="J2" s="13" t="str">
        <x:v>기존 수동평가 환산: 검색정확도 3.0/5×5; 근거성 3.0/5와 환각억제 5.0/5 평균×5; 답변정확도 4.0/5×5; 실무성 4.0/5×5; 기존 메모: 갱내 작업 전 환기 상태 확인 질문에 대해 시스템은 환기/유해가스 유형으로 적절히 분류하고, 작업중지, 대피, 메탄·산소·일산화탄소 측정, 환기설비 상태 확인, 측정 결과 확인 후 작업 재개 판단 등 기본적인 현장 조치를 제시하였다. 다만 검색된 근거 문서가 산업안전보건법과 산업안전보건법 시행규칙 위주로 나타나, 갱내 환기와 유해가스 관리에 직접적인 광산안전기술기준이나 광산안전업무 처리지침이 상위에 검색되지 않은 점은 아쉽다. 따라서 답변의 방향성과 실무성은 양호하지만 검색정확도와 근거성은 일부 감점하였다.; 총점 80점 미만 또는 세부 기준 15점 미만으로 수동 검토 권장</x:v>
      </x:c>
      <x:c r="K2" s="13" t="str">
        <x:v>03_산업안전보건법.txt,05_산업안전보건법_시행규칙.txt,05_산업안전보건법_시행규칙.txt</x:v>
      </x:c>
    </x:row>
    <x:row r="3" ht="58" customHeight="1">
      <x:c r="A3" s="13" t="str">
        <x:v>Q013</x:v>
      </x:c>
      <x:c r="B3" s="13" t="str">
        <x:v>보호구</x:v>
      </x:c>
      <x:c r="C3" s="13" t="str">
        <x:v>작업자가 안전모와 방진마스크를 착용하지 않고 갱내 작업장에 들어가려 할 때 관리자는 어떻게 해야 해?</x:v>
      </x:c>
      <x:c r="D3" s="13" t="n">
        <x:v>15</x:v>
      </x:c>
      <x:c r="E3" s="13" t="n">
        <x:v>20</x:v>
      </x:c>
      <x:c r="F3" s="13" t="n">
        <x:v>15</x:v>
      </x:c>
      <x:c r="G3" s="13" t="n">
        <x:v>15</x:v>
      </x:c>
      <x:c r="H3" s="13" t="n">
        <x:v>65</x:v>
      </x:c>
      <x:c r="I3" s="16" t="str">
        <x:v>보완 필요</x:v>
      </x:c>
      <x:c r="J3" s="13" t="str">
        <x:v>기존 수동평가 환산: 검색정확도 3.0/5×5; 근거성 3.0/5와 환각억제 5.0/5 평균×5; 답변정확도 3.0/5×5; 실무성 3.0/5×5; 기존 메모: 안전모와 방진마스크를 착용하지 않은 작업자의 갱내 작업장 출입 상황에 대해 시스템은 일반 광산 안전 유형으로 분류하고, 작업중지, 출입통제, 책임자 확인 등 일반적인 안전 조치를 제시하였다. 그러나 질문의 핵심인 보호구 미착용, 안전모 착용 확인, 방진마스크 착용 확인, 보호구 지급 및 착용 관리, 작업 투입 금지, 교육 및 기록 등의 조치가 충분히 구체적으로 제시되지 않았다. 검색 결과도 위험성평가 안내서, 안전보건관리체계 구축 가이드북, 산업안전보건법 위주로 나타나 보호구 관련 직접 근거가 부족하였다. 따라서 검색정확도, 답변정확도, 근거성, 실무성을 일부 감점하였다.; 총점 80점 미만 또는 세부 기준 15점 미만으로 수동 검토 권장</x:v>
      </x:c>
      <x:c r="K3" s="13" t="str">
        <x:v>13_2023_새로운_위험성평가_안내서.txt,11_안전보건관리체계_구축_가이드북.txt,03_산업안전보건법.txt</x:v>
      </x:c>
    </x:row>
    <x:row r="4" ht="58" customHeight="1">
      <x:c r="A4" s="13" t="str">
        <x:v>Q014</x:v>
      </x:c>
      <x:c r="B4" s="13" t="str">
        <x:v>보호구/호흡보호</x:v>
      </x:c>
      <x:c r="C4" s="13" t="str">
        <x:v>분진이 많은 굴진 작업에서 방진마스크를 어떤 기준으로 지급하고 착용 상태를 확인해야 해?</x:v>
      </x:c>
      <x:c r="D4" s="13" t="n">
        <x:v>15</x:v>
      </x:c>
      <x:c r="E4" s="13" t="n">
        <x:v>20</x:v>
      </x:c>
      <x:c r="F4" s="13" t="n">
        <x:v>10</x:v>
      </x:c>
      <x:c r="G4" s="13" t="n">
        <x:v>10</x:v>
      </x:c>
      <x:c r="H4" s="13" t="n">
        <x:v>55</x:v>
      </x:c>
      <x:c r="I4" s="16" t="str">
        <x:v>미흡</x:v>
      </x:c>
      <x:c r="J4" s="13" t="str">
        <x:v>기존 수동평가 환산: 검색정확도 3.0/5×5; 근거성 3.0/5와 환각억제 5.0/5 평균×5; 답변정확도 2.0/5×5; 실무성 2.0/5×5; 기존 메모: 분진이 많은 굴진 작업에서 방진마스크 지급 및 착용 상태 확인 기준을 묻는 질문이었으나, 시스템은 이를 보호구/PPE 또는 분진 작업이 아니라 발파/불발 유형으로 분류하였다. 답변은 불발 의심 장소 접근 금지, 위험구역 출입통제, 발파 책임자 확인 등 발파 관련 조치 위주로 제시되어 질문의 핵심인 방진마스크, 호흡보호구 지급, 보호구 적합성, 착용 상태 확인, 착용 교육 및 기록 관리가 충분히 반영되지 않았다. 검색 문서는 광산안전기술기준과 광산안전업무 처리지침 등 광산 특화 문서가 포함되었으나 보호구 관련 직접 근거로는 부족하여 검색정확도와 근거성을 일부 감점하였다.; 총점 80점 미만 또는 세부 기준 15점 미만으로 수동 검토 권장</x:v>
      </x:c>
      <x:c r="K4" s="13" t="str">
        <x:v>09_광산안전기술기준_제10차개정_2024-12-19.txt,08_광산안전법_시행규칙.txt,10_광산안전업무_처리지침_2025-35_latest.txt</x:v>
      </x:c>
    </x:row>
    <x:row r="5" ht="58" customHeight="1">
      <x:c r="A5" s="13" t="str">
        <x:v>Q018</x:v>
      </x:c>
      <x:c r="B5" s="13" t="str">
        <x:v>작업중지/재개</x:v>
      </x:c>
      <x:c r="C5" s="13" t="str">
        <x:v>낙반 위험으로 작업을 중지한 뒤 다시 작업을 시작하려면 어떤 확인과 승인 절차가 필요해?</x:v>
      </x:c>
      <x:c r="D5" s="13" t="n">
        <x:v>15</x:v>
      </x:c>
      <x:c r="E5" s="13" t="n">
        <x:v>20</x:v>
      </x:c>
      <x:c r="F5" s="13" t="n">
        <x:v>20</x:v>
      </x:c>
      <x:c r="G5" s="13" t="n">
        <x:v>20</x:v>
      </x:c>
      <x:c r="H5" s="13" t="n">
        <x:v>75</x:v>
      </x:c>
      <x:c r="I5" s="16" t="str">
        <x:v>보통</x:v>
      </x:c>
      <x:c r="J5" s="13" t="str">
        <x:v>기존 수동평가 환산: 검색정확도 3.0/5×5; 근거성 3.0/5와 환각억제 5.0/5 평균×5; 답변정확도 4.0/5×5; 실무성 4.0/5×5; 기존 메모: 낙반 위험으로 작업을 중지한 뒤 재작업을 시작하기 위한 확인과 승인 절차에 대해 시스템은 낙반/붕락 유형으로 적절히 분류하고, 작업중지 유지, 출입통제, 근로자 대피, 천반 균열·부석·낙석 위험 확인, 지보공 변형·손상 확인, 안전관리자 또는 책임자 확인 후 작업 재개 판단 등 기본적인 현장 조치를 제시하였다. 다만 검색 결과가 산업안전보건법 시행규칙 위주로 나타나 낙반·붕락 및 갱내 작업 재개와 직접 관련성이 높은 광산안전기술기준이나 광산안전법 시행규칙이 충분히 검색되지 않은 점은 아쉽다. 따라서 답변의 방향성과 실무성은 양호하지만 검색정확도와 근거성은 일부 감점하였다.; 총점 80점 미만 또는 세부 기준 15점 미만으로 수동 검토 권장</x:v>
      </x:c>
      <x:c r="K5" s="13" t="str">
        <x:v>05_산업안전보건법_시행규칙.txt,10_광산안전업무_처리지침_2025-35_latest.txt,05_산업안전보건법_시행규칙.txt</x:v>
      </x:c>
    </x:row>
    <x:row r="6" ht="58" customHeight="1">
      <x:c r="A6" s="13" t="str">
        <x:v>Q019</x:v>
      </x:c>
      <x:c r="B6" s="13" t="str">
        <x:v>사고보고</x:v>
      </x:c>
      <x:c r="C6" s="13" t="str">
        <x:v>갱내 운반차량 접촉사고로 작업자가 다쳤을 때 현장 관리자는 먼저 무엇을 하고 어디까지 보고해야 해?</x:v>
      </x:c>
      <x:c r="D6" s="13" t="n">
        <x:v>15</x:v>
      </x:c>
      <x:c r="E6" s="13" t="n">
        <x:v>20</x:v>
      </x:c>
      <x:c r="F6" s="13" t="n">
        <x:v>10</x:v>
      </x:c>
      <x:c r="G6" s="13" t="n">
        <x:v>10</x:v>
      </x:c>
      <x:c r="H6" s="13" t="n">
        <x:v>55</x:v>
      </x:c>
      <x:c r="I6" s="16" t="str">
        <x:v>미흡</x:v>
      </x:c>
      <x:c r="J6" s="13" t="str">
        <x:v>기존 수동평가 환산: 검색정확도 3.0/5×5; 근거성 3.0/5와 환각억제 5.0/5 평균×5; 답변정확도 2.0/5×5; 실무성 2.0/5×5; 기존 메모: 갱내 운반차량 접촉사고로 작업자가 다친 상황에 대해 시스템은 장비/운반 유형으로 분류하고, 전원 차단, 에너지 격리, 임의가동 방지, 접근통제 등 장비 위험 통제 조치를 제시하였다. 그러나 질문의 핵심은 이미 부상자가 발생한 사고 상황에서의 최초 조치와 보고 범위이므로, 부상자 응급조치, 119 또는 구급 연락, 2차 사고 방지, 현장 보존, 안전관리자·책임자 보고, 사고 기록, 재해조사, 필요 시 관계기관 신고 및 재발방지대책 수립 등이 더 직접적으로 제시되어야 한다. 검색 결과도 안전보건관리체계 구축 가이드북과 산업안전보건법 시행령 위주로 나타나, 광산안전업무 처리지침이나 광산안전법 계열의 사고보고 관련 근거가 부족하였다.; 총점 80점 미만 또는 세부 기준 15점 미만으로 수동 검토 권장</x:v>
      </x:c>
      <x:c r="K6" s="13" t="str">
        <x:v>11_안전보건관리체계_구축_가이드북.txt,11_안전보건관리체계_구축_가이드북.txt,04_산업안전보건법_시행령.txt</x:v>
      </x:c>
    </x:row>
    <x:row r="7" ht="58" customHeight="1">
      <x:c r="A7" s="13" t="str">
        <x:v>Q023</x:v>
      </x:c>
      <x:c r="B7" s="13" t="str">
        <x:v>위험성평가</x:v>
      </x:c>
      <x:c r="C7" s="13" t="str">
        <x:v>새로운 굴진 구간 작업을 시작하기 전 위험성평가는 어떤 항목과 순서로 해야 해?</x:v>
      </x:c>
      <x:c r="D7" s="13" t="n">
        <x:v>15</x:v>
      </x:c>
      <x:c r="E7" s="13" t="n">
        <x:v>20</x:v>
      </x:c>
      <x:c r="F7" s="13" t="n">
        <x:v>10</x:v>
      </x:c>
      <x:c r="G7" s="13" t="n">
        <x:v>10</x:v>
      </x:c>
      <x:c r="H7" s="13" t="n">
        <x:v>55</x:v>
      </x:c>
      <x:c r="I7" s="16" t="str">
        <x:v>미흡</x:v>
      </x:c>
      <x:c r="J7" s="13" t="str">
        <x:v>기존 수동평가 환산: 검색정확도 3.0/5×5; 근거성 3.0/5와 환각억제 5.0/5 평균×5; 답변정확도 2.0/5×5; 실무성 2.0/5×5; 기존 메모: 새로운 굴진 구간 작업 시작 전 위험성평가 항목과 순서를 묻는 질문이었으나, 시스템은 이를 위험성평가 유형이 아니라 발파/불발 유형으로 분류하였다. 답변은 불발 의심 장소 접근 금지, 위험구역 출입통제, 발파 책임자 확인, 불발화약류 확인, 발파 후 재출입 기준 등 발파 관련 조치 위주로 제시되어 질문의 핵심인 유해·위험요인 파악, 위험성 결정, 감소대책 수립, 감소대책 이행, 근로자 공유, 작업 전 안전회의, 기록 및 재평가 절차가 충분히 반영되지 않았다. 검색 결과도 광산안전기술기준, 광산안전법 시행규칙, 광산안전업무 처리지침이 포함되어 광산 작업과의 관련성은 있으나, 위험성평가 안내서와 안전보건관리체계 구축 가이드북 등 위험성평가 직접 근거가 상위에 검색되지 않아 검색정확도와 근거성을 일부 감점하였다.; 총점 80점 미만 또는 세부 기준 15점 미만으로 수동 검토 권장</x:v>
      </x:c>
      <x:c r="K7" s="13" t="str">
        <x:v>09_광산안전기술기준_제10차개정_2024-12-19.txt,08_광산안전법_시행규칙.txt,10_광산안전업무_처리지침_2025-35_latest.txt</x:v>
      </x:c>
    </x:row>
    <x:row r="8" ht="58" customHeight="1">
      <x:c r="A8" s="13" t="str">
        <x:v>Q025</x:v>
      </x:c>
      <x:c r="B8" s="13" t="str">
        <x:v>광산안전법</x:v>
      </x:c>
      <x:c r="C8" s="13" t="str">
        <x:v>광산안전법 관점에서 광산 관리자가 일상적으로 점검하고 기록해야 할 안전관리 사항은 뭐야?</x:v>
      </x:c>
      <x:c r="D8" s="13" t="n">
        <x:v>20</x:v>
      </x:c>
      <x:c r="E8" s="13" t="n">
        <x:v>23</x:v>
      </x:c>
      <x:c r="F8" s="13" t="n">
        <x:v>15</x:v>
      </x:c>
      <x:c r="G8" s="13" t="n">
        <x:v>15</x:v>
      </x:c>
      <x:c r="H8" s="13" t="n">
        <x:v>73</x:v>
      </x:c>
      <x:c r="I8" s="16" t="str">
        <x:v>보통</x:v>
      </x:c>
      <x:c r="J8" s="13" t="str">
        <x:v>기존 수동평가 환산: 검색정확도 4.0/5×5; 근거성 4.0/5와 환각억제 5.0/5 평균×5; 답변정확도 3.0/5×5; 실무성 3.0/5×5; 기존 메모: 광산안전법 관점에서 광산 관리자가 일상적으로 점검하고 기록해야 할 안전관리 사항을 묻는 질문에 대해 시스템은 광산안전업무 처리지침, 광산안전법 시행규칙, 광산안전기술기준을 검색하여 비교적 적절한 근거를 제시하였다. 검색 근거에는 위험 발생 보고, 작업 전·작업 중 작업장 검사, 천장·측벽·작업면 점검, 부석 등 위험요소 제거와 관련된 내용이 포함되어 질문과의 관련성이 있다. 다만 답변은 일반 광산 안전 유형으로 분류되어 작업중지, 출입통제, 대피 등 일반 조치 위주로 제시되었고, 일상 점검 및 기록 항목인 환기·유해가스·분진, 낙반·지보, 전기·기계·운반 설비, 보호구, 안전교육, 비상연락체계, 점검 결과 기록 및 보고 절차를 체계적으로 제시하지 못하였다. 따라서 검색정확도와 근거성은 양호하나 답변정확도와 실무성은 일부 감점하였다.; 총점 80점 미만 또는 세부 기준 15점 미만으로 수동 검토 권장</x:v>
      </x:c>
      <x:c r="K8" s="13" t="str">
        <x:v>10_광산안전업무_처리지침_2025-35_latest.txt,08_광산안전법_시행규칙.txt,09_광산안전기술기준_제10차개정_2024-12-19.txt</x:v>
      </x:c>
    </x:row>
    <x:row r="9" ht="58" customHeight="1">
      <x:c r="A9" s="13" t="str">
        <x:v>Q026</x:v>
      </x:c>
      <x:c r="B9" s="13" t="str">
        <x:v>광산안전기술기준</x:v>
      </x:c>
      <x:c r="C9" s="13" t="str">
        <x:v>갱내 통로, 조명, 표지판, 대피로를 점검할 때 광산안전기술기준상 어떤 요소를 봐야 해?</x:v>
      </x:c>
      <x:c r="D9" s="13" t="n">
        <x:v>25</x:v>
      </x:c>
      <x:c r="E9" s="13" t="n">
        <x:v>23</x:v>
      </x:c>
      <x:c r="F9" s="13" t="n">
        <x:v>15</x:v>
      </x:c>
      <x:c r="G9" s="13" t="n">
        <x:v>15</x:v>
      </x:c>
      <x:c r="H9" s="13" t="n">
        <x:v>78</x:v>
      </x:c>
      <x:c r="I9" s="16" t="str">
        <x:v>보통</x:v>
      </x:c>
      <x:c r="J9" s="13" t="str">
        <x:v>기존 수동평가 환산: 검색정확도 5.0/5×5; 근거성 4.0/5와 환각억제 5.0/5 평균×5; 답변정확도 3.0/5×5; 실무성 3.0/5×5; 기존 메모: 갱내 통로, 조명, 표지판, 대피로를 점검할 때 광산안전기술기준상 확인해야 할 요소를 묻는 질문에 대해 시스템은 광산안전기술기준, 광산안전법 시행령, 광산안전법 시행규칙을 검색하여 관련성이 높은 근거를 제시하였다. 검색 근거에는 조명 또는 안내표지 설치, 경사지역 위험표시, 주요 통행장소와 운반갱도 순회 점검, 위험성 유무 검사, 점검 결과 기록 등이 포함되어 질문과의 관련성이 높다. 다만 시스템은 질문을 통행·표지·대피로 점검 유형이 아니라 전기안전 유형으로 분류하여 전원 차단, 무전압 확인, 접지·절연·누전차단기, 케이블 점검 등 감전 예방 조치 위주로 답변하였다. 따라서 검색정확도는 높지만, 질문의 핵심인 통로 확보, 조명 상태, 안내·위험표지, 대피로 확보, 통행장소 점검, 안전일지 기록 등이 충분히 답변에 반영되지 않아 답변정확도와 실무성을 일부 감점하였다.; 총점 80점 미만 또는 세부 기준 15점 미만으로 수동 검토 권장</x:v>
      </x:c>
      <x:c r="K9" s="13" t="str">
        <x:v>09_광산안전기술기준_제10차개정_2024-12-19.txt,07_광산안전법_시행령.txt,08_광산안전법_시행규칙.txt</x:v>
      </x:c>
    </x:row>
    <x:row r="10" ht="58" customHeight="1">
      <x:c r="A10" s="13" t="str">
        <x:v>Q028</x:v>
      </x:c>
      <x:c r="B10" s="13" t="str">
        <x:v>분진/건강장해</x:v>
      </x:c>
      <x:c r="C10" s="13" t="str">
        <x:v>굴진과 파쇄 작업에서 분진 노출을 줄이기 위해 관리자가 작업 전후로 확인해야 할 사항은 뭐야?</x:v>
      </x:c>
      <x:c r="D10" s="13" t="n">
        <x:v>20</x:v>
      </x:c>
      <x:c r="E10" s="13" t="n">
        <x:v>20</x:v>
      </x:c>
      <x:c r="F10" s="13" t="n">
        <x:v>10</x:v>
      </x:c>
      <x:c r="G10" s="13" t="n">
        <x:v>10</x:v>
      </x:c>
      <x:c r="H10" s="13" t="n">
        <x:v>60</x:v>
      </x:c>
      <x:c r="I10" s="16" t="str">
        <x:v>보완 필요</x:v>
      </x:c>
      <x:c r="J10" s="13" t="str">
        <x:v>기존 수동평가 환산: 검색정확도 4.0/5×5; 근거성 3.0/5와 환각억제 5.0/5 평균×5; 답변정확도 2.0/5×5; 실무성 2.0/5×5; 기존 메모: 굴진과 파쇄 작업에서 분진 노출을 줄이기 위해 작업 전후 확인해야 할 사항을 묻는 질문이었으나, 시스템은 이를 분진/보호구/작업환경관리 유형이 아니라 발파/불발 유형으로 분류하였다. 답변은 불발 의심 장소 접근 금지, 위험구역 출입통제, 발파 책임자 확인, 불발화약류 확인 등 발파 관련 조치 위주로 제시되어 질문의 핵심인 분진 발생원 관리, 살수·집진·환기, 방진마스크 또는 호흡보호구 착용 확인, 작업환경측정, 노출 기준 초과 여부 확인, 작업 후 분진 제거와 기록 관리가 충분히 반영되지 않았다. 검색 결과에는 광산안전기술기준, 광산안전업무 처리지침, 광산안전법 시행규칙이 포함되어 광산 작업과의 관련성은 있으나, 답변 템플릿이 잘못 적용되어 답변정확도와 실무성을 감점하였다.; 총점 80점 미만 또는 세부 기준 15점 미만으로 수동 검토 권장</x:v>
      </x:c>
      <x:c r="K10" s="13" t="str">
        <x:v>09_광산안전기술기준_제10차개정_2024-12-19.txt,10_광산안전업무_처리지침_2025-35_latest.txt,08_광산안전법_시행규칙.txt</x:v>
      </x:c>
    </x:row>
    <x:row r="11" ht="58" customHeight="1">
      <x:c r="A11" s="13" t="str">
        <x:v>Q030</x:v>
      </x:c>
      <x:c r="B11" s="13" t="str">
        <x:v>종합 시나리오</x:v>
      </x:c>
      <x:c r="C11" s="13" t="str">
        <x:v>발파 후 환기가 충분하지 않고 운반차량까지 투입해야 하는 복합 작업 상황에서 관리자는 어떤 순서로 위험을 통제해야 해?</x:v>
      </x:c>
      <x:c r="D11" s="13" t="n">
        <x:v>20</x:v>
      </x:c>
      <x:c r="E11" s="13" t="n">
        <x:v>20</x:v>
      </x:c>
      <x:c r="F11" s="13" t="n">
        <x:v>15</x:v>
      </x:c>
      <x:c r="G11" s="13" t="n">
        <x:v>15</x:v>
      </x:c>
      <x:c r="H11" s="13" t="n">
        <x:v>70</x:v>
      </x:c>
      <x:c r="I11" s="16" t="str">
        <x:v>보통</x:v>
      </x:c>
      <x:c r="J11" s="13" t="str">
        <x:v>기존 수동평가 환산: 검색정확도 4.0/5×5; 근거성 3.0/5와 환각억제 5.0/5 평균×5; 답변정확도 3.0/5×5; 실무성 3.0/5×5; 기존 메모: 발파 후 환기가 충분하지 않고 운반차량까지 투입해야 하는 복합 작업 상황에서 위험 통제 순서를 묻는 질문에 대해 시스템은 발파/불발 유형으로 분류하고, 불발 의심 장소 접근 금지, 위험구역 출입통제, 발파 책임자 확인, 불발 여부 확인 전 작업 재개 금지, 후가스·메탄가스·낙반·부석 확인 등 발파 후 재출입 관련 조치를 제시하였다. 이는 질문의 일부와는 관련성이 있으나, 질문의 핵심인 환기 불충분 상태에서의 유해가스·산소농도 측정, 환기설비 확인, 운반차량 투입 전 통행로·작업자 위치·신호체계 확인, 차량과 보행자 동선 분리, 단계별 작업 재개 승인 등 복합위험 통제 순서가 충분히 반영되지 않았다. 검색 결과는 광산안전기술기준, 광산안전법 시행규칙, 광산안전업무 처리지침 등 광산 특화 문서가 포함되어 기본 관련성은 있으나, 환기·유해가스 및 운반장비 관련 직접 근거가 함께 검색되면 근거성이 더 높아질 수 있다.; 총점 80점 미만 또는 세부 기준 15점 미만으로 수동 검토 권장</x:v>
      </x:c>
      <x:c r="K11" s="13" t="str">
        <x:v>09_광산안전기술기준_제10차개정_2024-12-19.txt,08_광산안전법_시행규칙.txt,10_광산안전업무_처리지침_2025-35_latest.txt</x:v>
      </x:c>
    </x:row>
    <x:row r="12" ht="58" customHeight="1">
      <x:c r="A12" s="13" t="str">
        <x:v>Q031</x:v>
      </x:c>
      <x:c r="B12" s="13" t="str">
        <x:v>TBM(툴박스 미팅)</x:v>
      </x:c>
      <x:c r="C12" s="13" t="str">
        <x:v>작업 시작 전에 TBM 공정별 위험요인을 공유할 때 관리자가 먼저 확인해야 할 항목은 무엇인가?</x:v>
      </x:c>
      <x:c r="D12" s="13" t="n">
        <x:v>16</x:v>
      </x:c>
      <x:c r="E12" s="13" t="n">
        <x:v>20</x:v>
      </x:c>
      <x:c r="F12" s="13" t="n">
        <x:v>19</x:v>
      </x:c>
      <x:c r="G12" s="13" t="n">
        <x:v>19</x:v>
      </x:c>
      <x:c r="H12" s="13" t="n">
        <x:v>74</x:v>
      </x:c>
      <x:c r="I12" s="16" t="str">
        <x:v>보통</x:v>
      </x:c>
      <x:c r="J12" s="13" t="str">
        <x:v>총점이 80점 미만</x:v>
      </x:c>
      <x:c r="K12" s="13" t="str">
        <x:v>13_2023_새로운_위험성평가_안내서.txt,11_안전보건관리체계_구축_가이드북.txt,11_안전보건관리체계_구축_가이드북.txt,11_안전보건관리체계_구축_가이드북.txt,11_안전보건관리체계_구축_가이드북.txt</x:v>
      </x:c>
    </x:row>
    <x:row r="13" ht="58" customHeight="1">
      <x:c r="A13" s="13" t="str">
        <x:v>Q032</x:v>
      </x:c>
      <x:c r="B13" s="13" t="str">
        <x:v>TBM(툴박스 미팅)</x:v>
      </x:c>
      <x:c r="C13" s="13" t="str">
        <x:v>TBM 작업 전 안전회의에서 작업자에게 무엇을 우선적으로 안내해야 하나?</x:v>
      </x:c>
      <x:c r="D13" s="13" t="n">
        <x:v>18</x:v>
      </x:c>
      <x:c r="E13" s="13" t="n">
        <x:v>20</x:v>
      </x:c>
      <x:c r="F13" s="13" t="n">
        <x:v>19</x:v>
      </x:c>
      <x:c r="G13" s="13" t="n">
        <x:v>19</x:v>
      </x:c>
      <x:c r="H13" s="13" t="n">
        <x:v>76</x:v>
      </x:c>
      <x:c r="I13" s="16" t="str">
        <x:v>보통</x:v>
      </x:c>
      <x:c r="J13" s="13" t="str">
        <x:v>총점이 80점 미만</x:v>
      </x:c>
      <x:c r="K13" s="13" t="str">
        <x:v>13_2023_새로운_위험성평가_안내서.txt,11_안전보건관리체계_구축_가이드북.txt,11_안전보건관리체계_구축_가이드북.txt,13_2023_새로운_위험성평가_안내서.txt,11_안전보건관리체계_구축_가이드북.txt</x:v>
      </x:c>
    </x:row>
    <x:row r="14" ht="58" customHeight="1">
      <x:c r="A14" s="13" t="str">
        <x:v>Q033</x:v>
      </x:c>
      <x:c r="B14" s="13" t="str">
        <x:v>TBM(툴박스 미팅)</x:v>
      </x:c>
      <x:c r="C14" s="13" t="str">
        <x:v>TBM 굴진 전 작업 계획 변경이 있는 경우 관리자가 다시 확인해야 할 사항은 무엇인가?</x:v>
      </x:c>
      <x:c r="D14" s="13" t="n">
        <x:v>13</x:v>
      </x:c>
      <x:c r="E14" s="13" t="n">
        <x:v>20</x:v>
      </x:c>
      <x:c r="F14" s="13" t="n">
        <x:v>19</x:v>
      </x:c>
      <x:c r="G14" s="13" t="n">
        <x:v>19</x:v>
      </x:c>
      <x:c r="H14" s="13" t="n">
        <x:v>71</x:v>
      </x:c>
      <x:c r="I14" s="16" t="str">
        <x:v>보통</x:v>
      </x:c>
      <x:c r="J14" s="13" t="str">
        <x:v>총점이 80점 미만</x:v>
      </x:c>
      <x:c r="K14" s="13" t="str">
        <x:v>03_산업안전보건법.txt,11_안전보건관리체계_구축_가이드북.txt,05_산업안전보건법_시행규칙.txt,03_산업안전보건법.txt,03_산업안전보건법.txt</x:v>
      </x:c>
    </x:row>
    <x:row r="15" ht="58" customHeight="1">
      <x:c r="A15" s="13" t="str">
        <x:v>Q034</x:v>
      </x:c>
      <x:c r="B15" s="13" t="str">
        <x:v>발파/불발</x:v>
      </x:c>
      <x:c r="C15" s="13" t="str">
        <x:v>발파 전 주변 작업자에게 불발 가능성을 어떻게 공유하고 통제해야 하나?</x:v>
      </x:c>
      <x:c r="D15" s="13" t="n">
        <x:v>6</x:v>
      </x:c>
      <x:c r="E15" s="13" t="n">
        <x:v>16</x:v>
      </x:c>
      <x:c r="F15" s="13" t="n">
        <x:v>19</x:v>
      </x:c>
      <x:c r="G15" s="13" t="n">
        <x:v>19</x:v>
      </x:c>
      <x:c r="H15" s="13" t="n">
        <x:v>60</x:v>
      </x:c>
      <x:c r="I15" s="16" t="str">
        <x:v>보완 필요</x:v>
      </x:c>
      <x:c r="J15" s="13" t="str">
        <x:v>총점이 80점 미만; 예상 키워드 매칭 약함; 상위 근거 연관성 약함</x:v>
      </x:c>
      <x:c r="K15" s="13" t="str">
        <x:v>11_안전보건관리체계_구축_가이드북.txt,05_산업안전보건법_시행규칙.txt,05_산업안전보건법_시행규칙.txt,13_2023_새로운_위험성평가_안내서.txt,13_2023_새로운_위험성평가_안내서.txt</x:v>
      </x:c>
    </x:row>
    <x:row r="16" ht="58" customHeight="1">
      <x:c r="A16" s="13" t="str">
        <x:v>Q035</x:v>
      </x:c>
      <x:c r="B16" s="13" t="str">
        <x:v>발파/불발</x:v>
      </x:c>
      <x:c r="C16" s="13" t="str">
        <x:v>불발 의심 구역에서 작업 재개 전 관리자가 확인해야 할 최소 기준은 무엇인가?</x:v>
      </x:c>
      <x:c r="D16" s="13" t="n">
        <x:v>8</x:v>
      </x:c>
      <x:c r="E16" s="13" t="n">
        <x:v>16</x:v>
      </x:c>
      <x:c r="F16" s="13" t="n">
        <x:v>19</x:v>
      </x:c>
      <x:c r="G16" s="13" t="n">
        <x:v>19</x:v>
      </x:c>
      <x:c r="H16" s="13" t="n">
        <x:v>62</x:v>
      </x:c>
      <x:c r="I16" s="16" t="str">
        <x:v>보완 필요</x:v>
      </x:c>
      <x:c r="J16" s="13" t="str">
        <x:v>총점이 80점 미만; 예상 키워드 매칭 약함; 상위 근거 연관성 약함</x:v>
      </x:c>
      <x:c r="K16" s="13" t="str">
        <x:v>04_산업안전보건법_시행령.txt,03_산업안전보건법.txt,05_산업안전보건법_시행규칙.txt,13_2023_새로운_위험성평가_안내서.txt,11_안전보건관리체계_구축_가이드북.txt</x:v>
      </x:c>
    </x:row>
    <x:row r="17" ht="58" customHeight="1">
      <x:c r="A17" s="13" t="str">
        <x:v>Q036</x:v>
      </x:c>
      <x:c r="B17" s="13" t="str">
        <x:v>발파/불발</x:v>
      </x:c>
      <x:c r="C17" s="13" t="str">
        <x:v>발파 후 잔류약이 있을 수 있는 구간에서 작업자를 투입하기 전에 무엇을 확인해야 하나?</x:v>
      </x:c>
      <x:c r="D17" s="13" t="n">
        <x:v>20</x:v>
      </x:c>
      <x:c r="E17" s="13" t="n">
        <x:v>20</x:v>
      </x:c>
      <x:c r="F17" s="13" t="n">
        <x:v>19</x:v>
      </x:c>
      <x:c r="G17" s="13" t="n">
        <x:v>19</x:v>
      </x:c>
      <x:c r="H17" s="13" t="n">
        <x:v>78</x:v>
      </x:c>
      <x:c r="I17" s="16" t="str">
        <x:v>보통</x:v>
      </x:c>
      <x:c r="J17" s="13" t="str">
        <x:v>총점이 80점 미만</x:v>
      </x:c>
      <x:c r="K17" s="13" t="str">
        <x:v>09_광산안전기술기준_제10차개정_2024-12-19.txt,09_광산안전기술기준_제10차개정_2024-12-19.txt,09_광산안전기술기준_제10차개정_2024-12-19.txt,05_산업안전보건법_시행규칙.txt,05_산업안전보건법_시행규칙.txt</x:v>
      </x:c>
    </x:row>
    <x:row r="18" ht="58" customHeight="1">
      <x:c r="A18" s="13" t="str">
        <x:v>Q037</x:v>
      </x:c>
      <x:c r="B18" s="13" t="str">
        <x:v>환기/유해가스</x:v>
      </x:c>
      <x:c r="C18" s="13" t="str">
        <x:v>환기 설비를 가동한 뒤에도 가스 농도가 높은 경우 작업 시작 전 무엇을 먼저 해야 하나?</x:v>
      </x:c>
      <x:c r="D18" s="13" t="n">
        <x:v>18</x:v>
      </x:c>
      <x:c r="E18" s="13" t="n">
        <x:v>20</x:v>
      </x:c>
      <x:c r="F18" s="13" t="n">
        <x:v>19</x:v>
      </x:c>
      <x:c r="G18" s="13" t="n">
        <x:v>19</x:v>
      </x:c>
      <x:c r="H18" s="13" t="n">
        <x:v>76</x:v>
      </x:c>
      <x:c r="I18" s="16" t="str">
        <x:v>보통</x:v>
      </x:c>
      <x:c r="J18" s="13" t="str">
        <x:v>총점이 80점 미만</x:v>
      </x:c>
      <x:c r="K18" s="13" t="str">
        <x:v>09_광산안전기술기준_제10차개정_2024-12-19.txt,10_광산안전업무_처리지침_2025-35_latest.txt,09_광산안전기술기준_제10차개정_2024-12-19.txt,04_산업안전보건법_시행령.txt,09_광산안전기술기준_제10차개정_2024-12-19.txt</x:v>
      </x:c>
    </x:row>
    <x:row r="19" ht="58" customHeight="1">
      <x:c r="A19" s="13" t="str">
        <x:v>Q038</x:v>
      </x:c>
      <x:c r="B19" s="13" t="str">
        <x:v>환기/유해가스</x:v>
      </x:c>
      <x:c r="C19" s="13" t="str">
        <x:v>메탄 농도 급상승 시 작업 중인 근로자에게 관리자가 즉시 알려야 할 내용은 무엇인가?</x:v>
      </x:c>
      <x:c r="D19" s="13" t="n">
        <x:v>13</x:v>
      </x:c>
      <x:c r="E19" s="13" t="n">
        <x:v>16</x:v>
      </x:c>
      <x:c r="F19" s="13" t="n">
        <x:v>19</x:v>
      </x:c>
      <x:c r="G19" s="13" t="n">
        <x:v>19</x:v>
      </x:c>
      <x:c r="H19" s="13" t="n">
        <x:v>67</x:v>
      </x:c>
      <x:c r="I19" s="16" t="str">
        <x:v>보완 필요</x:v>
      </x:c>
      <x:c r="J19" s="13" t="str">
        <x:v>총점이 80점 미만; 예상 키워드 매칭 약함</x:v>
      </x:c>
      <x:c r="K19" s="13" t="str">
        <x:v>03_산업안전보건법.txt,09_광산안전기술기준_제10차개정_2024-12-19.txt,10_광산안전업무_처리지침_2025-35_latest.txt,09_광산안전기술기준_제10차개정_2024-12-19.txt,06_광산안전법.txt</x:v>
      </x:c>
    </x:row>
    <x:row r="20" ht="58" customHeight="1">
      <x:c r="A20" s="13" t="str">
        <x:v>Q039</x:v>
      </x:c>
      <x:c r="B20" s="13" t="str">
        <x:v>환기/유해가스</x:v>
      </x:c>
      <x:c r="C20" s="13" t="str">
        <x:v>폐쇄 구간에서 산소 농도 저하가 의심될 때 관리자가 우선 확인해야 할 항목은 무엇인가?</x:v>
      </x:c>
      <x:c r="D20" s="13" t="n">
        <x:v>6</x:v>
      </x:c>
      <x:c r="E20" s="13" t="n">
        <x:v>16</x:v>
      </x:c>
      <x:c r="F20" s="13" t="n">
        <x:v>19</x:v>
      </x:c>
      <x:c r="G20" s="13" t="n">
        <x:v>19</x:v>
      </x:c>
      <x:c r="H20" s="13" t="n">
        <x:v>60</x:v>
      </x:c>
      <x:c r="I20" s="16" t="str">
        <x:v>보완 필요</x:v>
      </x:c>
      <x:c r="J20" s="13" t="str">
        <x:v>총점이 80점 미만; 예상 키워드 매칭 약함; 상위 근거 연관성 약함</x:v>
      </x:c>
      <x:c r="K20" s="13" t="str">
        <x:v>03_산업안전보건법.txt,13_2023_새로운_위험성평가_안내서.txt,11_안전보건관리체계_구축_가이드북.txt,05_산업안전보건법_시행규칙.txt,11_안전보건관리체계_구축_가이드북.txt</x:v>
      </x:c>
    </x:row>
    <x:row r="21" ht="58" customHeight="1">
      <x:c r="A21" s="13" t="str">
        <x:v>Q040</x:v>
      </x:c>
      <x:c r="B21" s="13" t="str">
        <x:v>굴진/낙반/지보</x:v>
      </x:c>
      <x:c r="C21" s="13" t="str">
        <x:v>지보재 설치 후 천반 균열이 늘어나고 있다면 작업 재개 전 무엇을 확인해야 하나?</x:v>
      </x:c>
      <x:c r="D21" s="13" t="n">
        <x:v>8</x:v>
      </x:c>
      <x:c r="E21" s="13" t="n">
        <x:v>16</x:v>
      </x:c>
      <x:c r="F21" s="13" t="n">
        <x:v>19</x:v>
      </x:c>
      <x:c r="G21" s="13" t="n">
        <x:v>19</x:v>
      </x:c>
      <x:c r="H21" s="13" t="n">
        <x:v>62</x:v>
      </x:c>
      <x:c r="I21" s="16" t="str">
        <x:v>보완 필요</x:v>
      </x:c>
      <x:c r="J21" s="13" t="str">
        <x:v>총점이 80점 미만; 예상 키워드 매칭 약함; 상위 근거 연관성 약함</x:v>
      </x:c>
      <x:c r="K21" s="13" t="str">
        <x:v>09_광산안전기술기준_제10차개정_2024-12-19.txt,13_2023_새로운_위험성평가_안내서.txt,03_산업안전보건법.txt,08_광산안전법_시행규칙.txt,07_광산안전법_시행령.txt</x:v>
      </x:c>
    </x:row>
    <x:row r="22" ht="58" customHeight="1">
      <x:c r="A22" s="13" t="str">
        <x:v>Q041</x:v>
      </x:c>
      <x:c r="B22" s="13" t="str">
        <x:v>굴진/낙반/지보</x:v>
      </x:c>
      <x:c r="C22" s="13" t="str">
        <x:v>굴진 중 천반이 흔들릴 때 관리자가 작업자에게 지시해야 할 조치는 무엇인가?</x:v>
      </x:c>
      <x:c r="D22" s="13" t="n">
        <x:v>13</x:v>
      </x:c>
      <x:c r="E22" s="13" t="n">
        <x:v>20</x:v>
      </x:c>
      <x:c r="F22" s="13" t="n">
        <x:v>19</x:v>
      </x:c>
      <x:c r="G22" s="13" t="n">
        <x:v>19</x:v>
      </x:c>
      <x:c r="H22" s="13" t="n">
        <x:v>71</x:v>
      </x:c>
      <x:c r="I22" s="16" t="str">
        <x:v>보통</x:v>
      </x:c>
      <x:c r="J22" s="13" t="str">
        <x:v>총점이 80점 미만</x:v>
      </x:c>
      <x:c r="K22" s="13" t="str">
        <x:v>03_산업안전보건법.txt,11_안전보건관리체계_구축_가이드북.txt,11_안전보건관리체계_구축_가이드북.txt,05_산업안전보건법_시행규칙.txt,04_산업안전보건법_시행령.txt</x:v>
      </x:c>
    </x:row>
    <x:row r="23" ht="58" customHeight="1">
      <x:c r="A23" s="13" t="str">
        <x:v>Q042</x:v>
      </x:c>
      <x:c r="B23" s="13" t="str">
        <x:v>굴진/낙반/지보</x:v>
      </x:c>
      <x:c r="C23" s="13" t="str">
        <x:v>지보공 주변에 부석이 쌓였다면 작업 전 어떤 절차를 거쳐야 하나?</x:v>
      </x:c>
      <x:c r="D23" s="13" t="n">
        <x:v>18</x:v>
      </x:c>
      <x:c r="E23" s="13" t="n">
        <x:v>20</x:v>
      </x:c>
      <x:c r="F23" s="13" t="n">
        <x:v>19</x:v>
      </x:c>
      <x:c r="G23" s="13" t="n">
        <x:v>19</x:v>
      </x:c>
      <x:c r="H23" s="13" t="n">
        <x:v>76</x:v>
      </x:c>
      <x:c r="I23" s="16" t="str">
        <x:v>보통</x:v>
      </x:c>
      <x:c r="J23" s="13" t="str">
        <x:v>총점이 80점 미만</x:v>
      </x:c>
      <x:c r="K23" s="13" t="str">
        <x:v>11_안전보건관리체계_구축_가이드북.txt,09_광산안전기술기준_제10차개정_2024-12-19.txt,09_광산안전기술기준_제10차개정_2024-12-19.txt,09_광산안전기술기준_제10차개정_2024-12-19.txt,11_안전보건관리체계_구축_가이드북.txt</x:v>
      </x:c>
    </x:row>
    <x:row r="24" ht="58" customHeight="1">
      <x:c r="A24" s="13" t="str">
        <x:v>Q043</x:v>
      </x:c>
      <x:c r="B24" s="13" t="str">
        <x:v>보호구/PPE</x:v>
      </x:c>
      <x:c r="C24" s="13" t="str">
        <x:v>분진이 많이 나는 굴진 구간에서 방진마스크를 제대로 착용하지 않는 작업자에게 관리자가 어떻게 대응해야 하나?</x:v>
      </x:c>
      <x:c r="D24" s="13" t="n">
        <x:v>6</x:v>
      </x:c>
      <x:c r="E24" s="13" t="n">
        <x:v>16</x:v>
      </x:c>
      <x:c r="F24" s="13" t="n">
        <x:v>19</x:v>
      </x:c>
      <x:c r="G24" s="13" t="n">
        <x:v>19</x:v>
      </x:c>
      <x:c r="H24" s="13" t="n">
        <x:v>60</x:v>
      </x:c>
      <x:c r="I24" s="16" t="str">
        <x:v>보완 필요</x:v>
      </x:c>
      <x:c r="J24" s="13" t="str">
        <x:v>총점이 80점 미만; 예상 키워드 매칭 약함; 상위 근거 연관성 약함</x:v>
      </x:c>
      <x:c r="K24" s="13" t="str">
        <x:v>05_산업안전보건법_시행규칙.txt,13_2023_새로운_위험성평가_안내서.txt,11_안전보건관리체계_구축_가이드북.txt,11_안전보건관리체계_구축_가이드북.txt,11_안전보건관리체계_구축_가이드북.txt</x:v>
      </x:c>
    </x:row>
    <x:row r="25" ht="58" customHeight="1">
      <x:c r="A25" s="13" t="str">
        <x:v>Q044</x:v>
      </x:c>
      <x:c r="B25" s="13" t="str">
        <x:v>보호구/PPE</x:v>
      </x:c>
      <x:c r="C25" s="13" t="str">
        <x:v>분진 발생 구간에서 작업 중 보호구 상태가 바뀌었을 때 관리자가 확인해야 할 것은 무엇인가?</x:v>
      </x:c>
      <x:c r="D25" s="13" t="n">
        <x:v>12</x:v>
      </x:c>
      <x:c r="E25" s="13" t="n">
        <x:v>16</x:v>
      </x:c>
      <x:c r="F25" s="13" t="n">
        <x:v>19</x:v>
      </x:c>
      <x:c r="G25" s="13" t="n">
        <x:v>19</x:v>
      </x:c>
      <x:c r="H25" s="13" t="n">
        <x:v>66</x:v>
      </x:c>
      <x:c r="I25" s="16" t="str">
        <x:v>보완 필요</x:v>
      </x:c>
      <x:c r="J25" s="13" t="str">
        <x:v>총점이 80점 미만; 예상 키워드 매칭 약함</x:v>
      </x:c>
      <x:c r="K25" s="13" t="str">
        <x:v>11_안전보건관리체계_구축_가이드북.txt,04_산업안전보건법_시행령.txt,13_2023_새로운_위험성평가_안내서.txt,03_산업안전보건법.txt,05_산업안전보건법_시행규칙.txt</x:v>
      </x:c>
    </x:row>
    <x:row r="26" ht="58" customHeight="1">
      <x:c r="A26" s="13" t="str">
        <x:v>Q045</x:v>
      </x:c>
      <x:c r="B26" s="13" t="str">
        <x:v>보호구/PPE</x:v>
      </x:c>
      <x:c r="C26" s="13" t="str">
        <x:v>작업 시작 전 보호구 지급 현황을 확인할 때 관리자가 반드시 체크해야 할 항목은 무엇인가?</x:v>
      </x:c>
      <x:c r="D26" s="13" t="n">
        <x:v>8</x:v>
      </x:c>
      <x:c r="E26" s="13" t="n">
        <x:v>16</x:v>
      </x:c>
      <x:c r="F26" s="13" t="n">
        <x:v>19</x:v>
      </x:c>
      <x:c r="G26" s="13" t="n">
        <x:v>19</x:v>
      </x:c>
      <x:c r="H26" s="13" t="n">
        <x:v>62</x:v>
      </x:c>
      <x:c r="I26" s="16" t="str">
        <x:v>보완 필요</x:v>
      </x:c>
      <x:c r="J26" s="13" t="str">
        <x:v>총점이 80점 미만; 예상 키워드 매칭 약함; 상위 근거 연관성 약함</x:v>
      </x:c>
      <x:c r="K26" s="13" t="str">
        <x:v>05_산업안전보건법_시행규칙.txt,03_산업안전보건법.txt,03_산업안전보건법.txt,03_산업안전보건법.txt,03_산업안전보건법.txt</x:v>
      </x:c>
    </x:row>
    <x:row r="27" ht="58" customHeight="1">
      <x:c r="A27" s="13" t="str">
        <x:v>Q046</x:v>
      </x:c>
      <x:c r="B27" s="13" t="str">
        <x:v>보호구/PPE</x:v>
      </x:c>
      <x:c r="C27" s="13" t="str">
        <x:v>갱내 작업 중 안전모가 파손된 경우 관리자가 어떻게 조치해야 하나?</x:v>
      </x:c>
      <x:c r="D27" s="13" t="n">
        <x:v>13</x:v>
      </x:c>
      <x:c r="E27" s="13" t="n">
        <x:v>16</x:v>
      </x:c>
      <x:c r="F27" s="13" t="n">
        <x:v>19</x:v>
      </x:c>
      <x:c r="G27" s="13" t="n">
        <x:v>19</x:v>
      </x:c>
      <x:c r="H27" s="13" t="n">
        <x:v>67</x:v>
      </x:c>
      <x:c r="I27" s="16" t="str">
        <x:v>보완 필요</x:v>
      </x:c>
      <x:c r="J27" s="13" t="str">
        <x:v>총점이 80점 미만; 예상 키워드 매칭 약함</x:v>
      </x:c>
      <x:c r="K27" s="13" t="str">
        <x:v>11_안전보건관리체계_구축_가이드북.txt,11_안전보건관리체계_구축_가이드북.txt,11_안전보건관리체계_구축_가이드북.txt,08_광산안전법_시행규칙.txt,11_안전보건관리체계_구축_가이드북.txt</x:v>
      </x:c>
    </x:row>
    <x:row r="28" ht="58" customHeight="1">
      <x:c r="A28" s="13" t="str">
        <x:v>Q047</x:v>
      </x:c>
      <x:c r="B28" s="13" t="str">
        <x:v>TBM(툴박스 미팅)</x:v>
      </x:c>
      <x:c r="C28" s="13" t="str">
        <x:v>작업 시작 전에 작업자와 안전담당자 사이에 어떤 위험 정보가 공유되어야 하나?</x:v>
      </x:c>
      <x:c r="D28" s="13" t="n">
        <x:v>6</x:v>
      </x:c>
      <x:c r="E28" s="13" t="n">
        <x:v>16</x:v>
      </x:c>
      <x:c r="F28" s="13" t="n">
        <x:v>19</x:v>
      </x:c>
      <x:c r="G28" s="13" t="n">
        <x:v>19</x:v>
      </x:c>
      <x:c r="H28" s="13" t="n">
        <x:v>60</x:v>
      </x:c>
      <x:c r="I28" s="16" t="str">
        <x:v>보완 필요</x:v>
      </x:c>
      <x:c r="J28" s="13" t="str">
        <x:v>총점이 80점 미만; 예상 키워드 매칭 약함; 상위 근거 연관성 약함</x:v>
      </x:c>
      <x:c r="K28" s="13" t="str">
        <x:v>13_2023_새로운_위험성평가_안내서.txt,13_2023_새로운_위험성평가_안내서.txt,11_안전보건관리체계_구축_가이드북.txt,13_2023_새로운_위험성평가_안내서.txt,13_2023_새로운_위험성평가_안내서.txt</x:v>
      </x:c>
    </x:row>
    <x:row r="29" ht="58" customHeight="1">
      <x:c r="A29" s="13" t="str">
        <x:v>Q048</x:v>
      </x:c>
      <x:c r="B29" s="13" t="str">
        <x:v>환기/유해가스</x:v>
      </x:c>
      <x:c r="C29" s="13" t="str">
        <x:v>유해가스 측정 결과가 기준 이하라도 작업 중 상태 변화를 어떻게 확인해야 하나?</x:v>
      </x:c>
      <x:c r="D29" s="13" t="n">
        <x:v>15</x:v>
      </x:c>
      <x:c r="E29" s="13" t="n">
        <x:v>16</x:v>
      </x:c>
      <x:c r="F29" s="13" t="n">
        <x:v>19</x:v>
      </x:c>
      <x:c r="G29" s="13" t="n">
        <x:v>19</x:v>
      </x:c>
      <x:c r="H29" s="13" t="n">
        <x:v>69</x:v>
      </x:c>
      <x:c r="I29" s="16" t="str">
        <x:v>보완 필요</x:v>
      </x:c>
      <x:c r="J29" s="13" t="str">
        <x:v>총점이 80점 미만; 예상 키워드 매칭 약함</x:v>
      </x:c>
      <x:c r="K29" s="13" t="str">
        <x:v>10_광산안전업무_처리지침_2025-35_latest.txt,05_산업안전보건법_시행규칙.txt,05_산업안전보건법_시행규칙.txt,05_산업안전보건법_시행규칙.txt,09_광산안전기술기준_제10차개정_2024-12-19.txt</x:v>
      </x:c>
    </x:row>
    <x:row r="30" ht="58" customHeight="1">
      <x:c r="A30" s="13" t="str">
        <x:v>Q049</x:v>
      </x:c>
      <x:c r="B30" s="13" t="str">
        <x:v>굴진/낙반/지보</x:v>
      </x:c>
      <x:c r="C30" s="13" t="str">
        <x:v>지보공 설치가 늦어질 때 작업 재개 전 무엇을 우선 확인해야 하나?</x:v>
      </x:c>
      <x:c r="D30" s="13" t="n">
        <x:v>18</x:v>
      </x:c>
      <x:c r="E30" s="13" t="n">
        <x:v>16</x:v>
      </x:c>
      <x:c r="F30" s="13" t="n">
        <x:v>19</x:v>
      </x:c>
      <x:c r="G30" s="13" t="n">
        <x:v>19</x:v>
      </x:c>
      <x:c r="H30" s="13" t="n">
        <x:v>72</x:v>
      </x:c>
      <x:c r="I30" s="16" t="str">
        <x:v>보통</x:v>
      </x:c>
      <x:c r="J30" s="13" t="str">
        <x:v>총점이 80점 미만; 예상 키워드 매칭 약함</x:v>
      </x:c>
      <x:c r="K30" s="13" t="str">
        <x:v>13_2023_새로운_위험성평가_안내서.txt,13_2023_새로운_위험성평가_안내서.txt,07_광산안전법_시행령.txt,11_안전보건관리체계_구축_가이드북.txt,09_광산안전기술기준_제10차개정_2024-12-19.txt</x:v>
      </x:c>
    </x:row>
    <x:row r="31" ht="58" customHeight="1">
      <x:c r="A31" s="13" t="str">
        <x:v>Q050</x:v>
      </x:c>
      <x:c r="B31" s="13" t="str">
        <x:v>보호구/PPE</x:v>
      </x:c>
      <x:c r="C31" s="13" t="str">
        <x:v>분진이 많은 구간에서는 작업 전 어떤 환경 관리를 우선해야 하나?</x:v>
      </x:c>
      <x:c r="D31" s="13" t="n">
        <x:v>12</x:v>
      </x:c>
      <x:c r="E31" s="13" t="n">
        <x:v>16</x:v>
      </x:c>
      <x:c r="F31" s="13" t="n">
        <x:v>19</x:v>
      </x:c>
      <x:c r="G31" s="13" t="n">
        <x:v>19</x:v>
      </x:c>
      <x:c r="H31" s="13" t="n">
        <x:v>66</x:v>
      </x:c>
      <x:c r="I31" s="16" t="str">
        <x:v>보완 필요</x:v>
      </x:c>
      <x:c r="J31" s="13" t="str">
        <x:v>총점이 80점 미만; 예상 키워드 매칭 약함</x:v>
      </x:c>
      <x:c r="K31" s="13" t="str">
        <x:v>02_중대재해처벌법_시행령.txt,09_광산안전기술기준_제10차개정_2024-12-19.txt,11_안전보건관리체계_구축_가이드북.txt,09_광산안전기술기준_제10차개정_2024-12-19.txt,11_안전보건관리체계_구축_가이드북.txt</x:v>
      </x:c>
    </x:row>
    <x:row r="32" ht="58" customHeight="1">
      <x:c r="A32" s="13" t="str">
        <x:v>Q051</x:v>
      </x:c>
      <x:c r="B32" s="13" t="str">
        <x:v>TBM(툴박스 미팅)</x:v>
      </x:c>
      <x:c r="C32" s="13" t="str">
        <x:v>TBM 작업 전 작업자에게 작업중지 기준을 어떻게 알려야 하나?</x:v>
      </x:c>
      <x:c r="D32" s="13" t="n">
        <x:v>18</x:v>
      </x:c>
      <x:c r="E32" s="13" t="n">
        <x:v>20</x:v>
      </x:c>
      <x:c r="F32" s="13" t="n">
        <x:v>19</x:v>
      </x:c>
      <x:c r="G32" s="13" t="n">
        <x:v>19</x:v>
      </x:c>
      <x:c r="H32" s="13" t="n">
        <x:v>76</x:v>
      </x:c>
      <x:c r="I32" s="16" t="str">
        <x:v>보통</x:v>
      </x:c>
      <x:c r="J32" s="13" t="str">
        <x:v>총점이 80점 미만</x:v>
      </x:c>
      <x:c r="K32" s="13" t="str">
        <x:v>13_2023_새로운_위험성평가_안내서.txt,11_안전보건관리체계_구축_가이드북.txt,05_산업안전보건법_시행규칙.txt,13_2023_새로운_위험성평가_안내서.txt,05_산업안전보건법_시행규칙.txt</x:v>
      </x:c>
    </x:row>
    <x:row r="33" ht="58" customHeight="1">
      <x:c r="A33" s="13" t="str">
        <x:v>Q052</x:v>
      </x:c>
      <x:c r="B33" s="13" t="str">
        <x:v>발파/불발</x:v>
      </x:c>
      <x:c r="C33" s="13" t="str">
        <x:v>발파 구역 주변에 작업자가 남아 있으면 관리자가 어떤 조치를 해야 하나?</x:v>
      </x:c>
      <x:c r="D33" s="13" t="n">
        <x:v>6</x:v>
      </x:c>
      <x:c r="E33" s="13" t="n">
        <x:v>16</x:v>
      </x:c>
      <x:c r="F33" s="13" t="n">
        <x:v>19</x:v>
      </x:c>
      <x:c r="G33" s="13" t="n">
        <x:v>19</x:v>
      </x:c>
      <x:c r="H33" s="13" t="n">
        <x:v>60</x:v>
      </x:c>
      <x:c r="I33" s="16" t="str">
        <x:v>보완 필요</x:v>
      </x:c>
      <x:c r="J33" s="13" t="str">
        <x:v>총점이 80점 미만; 예상 키워드 매칭 약함; 상위 근거 연관성 약함</x:v>
      </x:c>
      <x:c r="K33" s="13" t="str">
        <x:v>04_산업안전보건법_시행령.txt,03_산업안전보건법.txt,04_산업안전보건법_시행령.txt,05_산업안전보건법_시행규칙.txt,03_산업안전보건법.txt</x:v>
      </x:c>
    </x:row>
    <x:row r="34" ht="58" customHeight="1">
      <x:c r="A34" s="13" t="str">
        <x:v>Q053</x:v>
      </x:c>
      <x:c r="B34" s="13" t="str">
        <x:v>환기/유해가스</x:v>
      </x:c>
      <x:c r="C34" s="13" t="str">
        <x:v>환기 장치 고장 시 작업자에게 무엇을 먼저 안내해야 하나?</x:v>
      </x:c>
      <x:c r="D34" s="13" t="n">
        <x:v>15</x:v>
      </x:c>
      <x:c r="E34" s="13" t="n">
        <x:v>20</x:v>
      </x:c>
      <x:c r="F34" s="13" t="n">
        <x:v>19</x:v>
      </x:c>
      <x:c r="G34" s="13" t="n">
        <x:v>19</x:v>
      </x:c>
      <x:c r="H34" s="13" t="n">
        <x:v>73</x:v>
      </x:c>
      <x:c r="I34" s="16" t="str">
        <x:v>보통</x:v>
      </x:c>
      <x:c r="J34" s="13" t="str">
        <x:v>총점이 80점 미만</x:v>
      </x:c>
      <x:c r="K34" s="13" t="str">
        <x:v>09_광산안전기술기준_제10차개정_2024-12-19.txt,09_광산안전기술기준_제10차개정_2024-12-19.txt,03_산업안전보건법.txt,05_산업안전보건법_시행규칙.txt,09_광산안전기술기준_제10차개정_2024-12-19.txt</x:v>
      </x:c>
    </x:row>
    <x:row r="35" ht="58" customHeight="1">
      <x:c r="A35" s="13" t="str">
        <x:v>Q054</x:v>
      </x:c>
      <x:c r="B35" s="13" t="str">
        <x:v>굴진/낙반/지보</x:v>
      </x:c>
      <x:c r="C35" s="13" t="str">
        <x:v>작업 중 천반이 내려앉을 위험이 있을 때 어떤 즉시 조치가 필요한가?</x:v>
      </x:c>
      <x:c r="D35" s="13" t="n">
        <x:v>13</x:v>
      </x:c>
      <x:c r="E35" s="13" t="n">
        <x:v>20</x:v>
      </x:c>
      <x:c r="F35" s="13" t="n">
        <x:v>19</x:v>
      </x:c>
      <x:c r="G35" s="13" t="n">
        <x:v>19</x:v>
      </x:c>
      <x:c r="H35" s="13" t="n">
        <x:v>71</x:v>
      </x:c>
      <x:c r="I35" s="16" t="str">
        <x:v>보통</x:v>
      </x:c>
      <x:c r="J35" s="13" t="str">
        <x:v>총점이 80점 미만</x:v>
      </x:c>
      <x:c r="K35" s="13" t="str">
        <x:v>11_안전보건관리체계_구축_가이드북.txt,09_광산안전기술기준_제10차개정_2024-12-19.txt,13_2023_새로운_위험성평가_안내서.txt,13_2023_새로운_위험성평가_안내서.txt,03_산업안전보건법.txt</x:v>
      </x:c>
    </x:row>
    <x:row r="36" ht="58" customHeight="1">
      <x:c r="A36" s="13" t="str">
        <x:v>Q055</x:v>
      </x:c>
      <x:c r="B36" s="13" t="str">
        <x:v>보호구/PPE</x:v>
      </x:c>
      <x:c r="C36" s="13" t="str">
        <x:v>작업 전 보호구 미착용 상태를 발견했을 때 관리자가 즉시 해야 할 행동은 무엇인가?</x:v>
      </x:c>
      <x:c r="D36" s="13" t="n">
        <x:v>15</x:v>
      </x:c>
      <x:c r="E36" s="13" t="n">
        <x:v>16</x:v>
      </x:c>
      <x:c r="F36" s="13" t="n">
        <x:v>19</x:v>
      </x:c>
      <x:c r="G36" s="13" t="n">
        <x:v>19</x:v>
      </x:c>
      <x:c r="H36" s="13" t="n">
        <x:v>69</x:v>
      </x:c>
      <x:c r="I36" s="16" t="str">
        <x:v>보완 필요</x:v>
      </x:c>
      <x:c r="J36" s="13" t="str">
        <x:v>총점이 80점 미만; 예상 키워드 매칭 약함</x:v>
      </x:c>
      <x:c r="K36" s="13" t="str">
        <x:v>11_안전보건관리체계_구축_가이드북.txt,11_안전보건관리체계_구축_가이드북.txt,03_산업안전보건법.txt,13_2023_새로운_위험성평가_안내서.txt,03_산업안전보건법.txt</x:v>
      </x:c>
    </x:row>
    <x:row r="37" ht="58" customHeight="1">
      <x:c r="A37" s="13" t="str">
        <x:v>Q056</x:v>
      </x:c>
      <x:c r="B37" s="13" t="str">
        <x:v>TBM(툴박스 미팅)</x:v>
      </x:c>
      <x:c r="C37" s="13" t="str">
        <x:v>작업 전 안전회의에서 위험성평가 결과를 공유하지 않으면 어떤 문제가 생길 수 있는가?</x:v>
      </x:c>
      <x:c r="D37" s="13" t="n">
        <x:v>18</x:v>
      </x:c>
      <x:c r="E37" s="13" t="n">
        <x:v>16</x:v>
      </x:c>
      <x:c r="F37" s="13" t="n">
        <x:v>19</x:v>
      </x:c>
      <x:c r="G37" s="13" t="n">
        <x:v>19</x:v>
      </x:c>
      <x:c r="H37" s="13" t="n">
        <x:v>72</x:v>
      </x:c>
      <x:c r="I37" s="16" t="str">
        <x:v>보통</x:v>
      </x:c>
      <x:c r="J37" s="13" t="str">
        <x:v>총점이 80점 미만; 예상 키워드 매칭 약함</x:v>
      </x:c>
      <x:c r="K37" s="13" t="str">
        <x:v>13_2023_새로운_위험성평가_안내서.txt,13_2023_새로운_위험성평가_안내서.txt,03_산업안전보건법.txt,13_2023_새로운_위험성평가_안내서.txt,13_2023_새로운_위험성평가_안내서.txt</x:v>
      </x:c>
    </x:row>
    <x:row r="38" ht="58" customHeight="1">
      <x:c r="A38" s="13" t="str">
        <x:v>Q057</x:v>
      </x:c>
      <x:c r="B38" s="13" t="str">
        <x:v>발파/불발</x:v>
      </x:c>
      <x:c r="C38" s="13" t="str">
        <x:v>불발 의심 구역에서 작업자들이 접근하려는 경우 관리자가 어떤 의사결정을 해야 하나?</x:v>
      </x:c>
      <x:c r="D38" s="13" t="n">
        <x:v>13</x:v>
      </x:c>
      <x:c r="E38" s="13" t="n">
        <x:v>16</x:v>
      </x:c>
      <x:c r="F38" s="13" t="n">
        <x:v>19</x:v>
      </x:c>
      <x:c r="G38" s="13" t="n">
        <x:v>19</x:v>
      </x:c>
      <x:c r="H38" s="13" t="n">
        <x:v>67</x:v>
      </x:c>
      <x:c r="I38" s="16" t="str">
        <x:v>보완 필요</x:v>
      </x:c>
      <x:c r="J38" s="13" t="str">
        <x:v>총점이 80점 미만; 예상 키워드 매칭 약함</x:v>
      </x:c>
      <x:c r="K38" s="13" t="str">
        <x:v>04_산업안전보건법_시행령.txt,11_안전보건관리체계_구축_가이드북.txt,03_산업안전보건법.txt,03_산업안전보건법.txt,04_산업안전보건법_시행령.txt</x:v>
      </x:c>
    </x:row>
    <x:row r="39" ht="58" customHeight="1">
      <x:c r="A39" s="13" t="str">
        <x:v>Q058</x:v>
      </x:c>
      <x:c r="B39" s="13" t="str">
        <x:v>환기/유해가스</x:v>
      </x:c>
      <x:c r="C39" s="13" t="str">
        <x:v>유해가스 농도 변동이 심한 구간에서 작업 전 무엇을 확인해야 하나?</x:v>
      </x:c>
      <x:c r="D39" s="13" t="n">
        <x:v>15</x:v>
      </x:c>
      <x:c r="E39" s="13" t="n">
        <x:v>16</x:v>
      </x:c>
      <x:c r="F39" s="13" t="n">
        <x:v>19</x:v>
      </x:c>
      <x:c r="G39" s="13" t="n">
        <x:v>19</x:v>
      </x:c>
      <x:c r="H39" s="13" t="n">
        <x:v>69</x:v>
      </x:c>
      <x:c r="I39" s="16" t="str">
        <x:v>보완 필요</x:v>
      </x:c>
      <x:c r="J39" s="13" t="str">
        <x:v>총점이 80점 미만; 예상 키워드 매칭 약함</x:v>
      </x:c>
      <x:c r="K39" s="13" t="str">
        <x:v>10_광산안전업무_처리지침_2025-35_latest.txt,02_중대재해처벌법_시행령.txt,08_광산안전법_시행규칙.txt,09_광산안전기술기준_제10차개정_2024-12-19.txt,03_산업안전보건법.txt</x:v>
      </x:c>
    </x:row>
    <x:row r="40" ht="58" customHeight="1">
      <x:c r="A40" s="13" t="str">
        <x:v>Q059</x:v>
      </x:c>
      <x:c r="B40" s="13" t="str">
        <x:v>굴진/낙반/지보</x:v>
      </x:c>
      <x:c r="C40" s="13" t="str">
        <x:v>지보공이 손상된 상태에서 작업자가 접근하려 할 때 관리자가 우선 해야 할 조치는 무엇인가?</x:v>
      </x:c>
      <x:c r="D40" s="13" t="n">
        <x:v>13</x:v>
      </x:c>
      <x:c r="E40" s="13" t="n">
        <x:v>20</x:v>
      </x:c>
      <x:c r="F40" s="13" t="n">
        <x:v>19</x:v>
      </x:c>
      <x:c r="G40" s="13" t="n">
        <x:v>19</x:v>
      </x:c>
      <x:c r="H40" s="13" t="n">
        <x:v>71</x:v>
      </x:c>
      <x:c r="I40" s="16" t="str">
        <x:v>보통</x:v>
      </x:c>
      <x:c r="J40" s="13" t="str">
        <x:v>총점이 80점 미만</x:v>
      </x:c>
      <x:c r="K40" s="13" t="str">
        <x:v>03_산업안전보건법.txt,11_안전보건관리체계_구축_가이드북.txt,03_산업안전보건법.txt,03_산업안전보건법.txt,11_안전보건관리체계_구축_가이드북.txt</x:v>
      </x:c>
    </x:row>
    <x:row r="41" ht="58" customHeight="1">
      <x:c r="A41" s="13" t="str">
        <x:v>Q060</x:v>
      </x:c>
      <x:c r="B41" s="13" t="str">
        <x:v>보호구/PPE</x:v>
      </x:c>
      <x:c r="C41" s="13" t="str">
        <x:v>분진이 많은 구간에서 방진마스크 착용 여부를 어떻게 관리해야 하나?</x:v>
      </x:c>
      <x:c r="D41" s="13" t="n">
        <x:v>6</x:v>
      </x:c>
      <x:c r="E41" s="13" t="n">
        <x:v>16</x:v>
      </x:c>
      <x:c r="F41" s="13" t="n">
        <x:v>19</x:v>
      </x:c>
      <x:c r="G41" s="13" t="n">
        <x:v>19</x:v>
      </x:c>
      <x:c r="H41" s="13" t="n">
        <x:v>60</x:v>
      </x:c>
      <x:c r="I41" s="16" t="str">
        <x:v>보완 필요</x:v>
      </x:c>
      <x:c r="J41" s="13" t="str">
        <x:v>총점이 80점 미만; 예상 키워드 매칭 약함; 상위 근거 연관성 약함</x:v>
      </x:c>
      <x:c r="K41" s="13" t="str">
        <x:v>11_안전보건관리체계_구축_가이드북.txt,07_광산안전법_시행령.txt,02_중대재해처벌법_시행령.txt,11_안전보건관리체계_구축_가이드북.txt,13_2023_새로운_위험성평가_안내서.txt</x:v>
      </x:c>
    </x:row>
    <x:row r="42" ht="58" customHeight="1">
      <x:c r="A42" s="13" t="str">
        <x:v>Q061</x:v>
      </x:c>
      <x:c r="B42" s="13" t="str">
        <x:v>TBM(툴박스 미팅)</x:v>
      </x:c>
      <x:c r="C42" s="13" t="str">
        <x:v>작업 전 안전회의에서 작업 재개 조건을 누가 최종 확인해야 하는가?</x:v>
      </x:c>
      <x:c r="D42" s="13" t="n">
        <x:v>18</x:v>
      </x:c>
      <x:c r="E42" s="13" t="n">
        <x:v>20</x:v>
      </x:c>
      <x:c r="F42" s="13" t="n">
        <x:v>19</x:v>
      </x:c>
      <x:c r="G42" s="13" t="n">
        <x:v>19</x:v>
      </x:c>
      <x:c r="H42" s="13" t="n">
        <x:v>76</x:v>
      </x:c>
      <x:c r="I42" s="16" t="str">
        <x:v>보통</x:v>
      </x:c>
      <x:c r="J42" s="13" t="str">
        <x:v>총점이 80점 미만</x:v>
      </x:c>
      <x:c r="K42" s="13" t="str">
        <x:v>13_2023_새로운_위험성평가_안내서.txt,11_안전보건관리체계_구축_가이드북.txt,13_2023_새로운_위험성평가_안내서.txt,11_안전보건관리체계_구축_가이드북.txt,03_산업안전보건법.txt</x:v>
      </x:c>
    </x:row>
    <x:row r="43" ht="58" customHeight="1">
      <x:c r="A43" s="13" t="str">
        <x:v>Q062</x:v>
      </x:c>
      <x:c r="B43" s="13" t="str">
        <x:v>발파/불발</x:v>
      </x:c>
      <x:c r="C43" s="13" t="str">
        <x:v>발파 후 재진입 전에 관리자가 확인해야 할 가장 중요한 사항은 무엇인가?</x:v>
      </x:c>
      <x:c r="D43" s="13" t="n">
        <x:v>6</x:v>
      </x:c>
      <x:c r="E43" s="13" t="n">
        <x:v>16</x:v>
      </x:c>
      <x:c r="F43" s="13" t="n">
        <x:v>19</x:v>
      </x:c>
      <x:c r="G43" s="13" t="n">
        <x:v>19</x:v>
      </x:c>
      <x:c r="H43" s="13" t="n">
        <x:v>60</x:v>
      </x:c>
      <x:c r="I43" s="16" t="str">
        <x:v>보완 필요</x:v>
      </x:c>
      <x:c r="J43" s="13" t="str">
        <x:v>총점이 80점 미만; 예상 키워드 매칭 약함; 상위 근거 연관성 약함</x:v>
      </x:c>
      <x:c r="K43" s="13" t="str">
        <x:v>11_안전보건관리체계_구축_가이드북.txt,11_안전보건관리체계_구축_가이드북.txt,03_산업안전보건법.txt,05_산업안전보건법_시행규칙.txt,03_산업안전보건법.txt</x:v>
      </x:c>
    </x:row>
    <x:row r="44" ht="58" customHeight="1">
      <x:c r="A44" s="13" t="str">
        <x:v>Q063</x:v>
      </x:c>
      <x:c r="B44" s="13" t="str">
        <x:v>환기/유해가스</x:v>
      </x:c>
      <x:c r="C44" s="13" t="str">
        <x:v>작업 전 환기 상태가 불안정할 때 어떤 조치를 우선해야 하나?</x:v>
      </x:c>
      <x:c r="D44" s="13" t="n">
        <x:v>15</x:v>
      </x:c>
      <x:c r="E44" s="13" t="n">
        <x:v>16</x:v>
      </x:c>
      <x:c r="F44" s="13" t="n">
        <x:v>19</x:v>
      </x:c>
      <x:c r="G44" s="13" t="n">
        <x:v>19</x:v>
      </x:c>
      <x:c r="H44" s="13" t="n">
        <x:v>69</x:v>
      </x:c>
      <x:c r="I44" s="16" t="str">
        <x:v>보완 필요</x:v>
      </x:c>
      <x:c r="J44" s="13" t="str">
        <x:v>총점이 80점 미만; 예상 키워드 매칭 약함</x:v>
      </x:c>
      <x:c r="K44" s="13" t="str">
        <x:v>11_안전보건관리체계_구축_가이드북.txt,13_2023_새로운_위험성평가_안내서.txt,13_2023_새로운_위험성평가_안내서.txt,13_2023_새로운_위험성평가_안내서.txt,03_산업안전보건법.txt</x:v>
      </x:c>
    </x:row>
    <x:row r="45" ht="58" customHeight="1">
      <x:c r="A45" s="13" t="str">
        <x:v>Q064</x:v>
      </x:c>
      <x:c r="B45" s="13" t="str">
        <x:v>굴진/낙반/지보</x:v>
      </x:c>
      <x:c r="C45" s="13" t="str">
        <x:v>지보재 설치가 끝난 뒤 작업자에게 공유해야 할 정보는 무엇인가?</x:v>
      </x:c>
      <x:c r="D45" s="13" t="n">
        <x:v>6</x:v>
      </x:c>
      <x:c r="E45" s="13" t="n">
        <x:v>16</x:v>
      </x:c>
      <x:c r="F45" s="13" t="n">
        <x:v>19</x:v>
      </x:c>
      <x:c r="G45" s="13" t="n">
        <x:v>19</x:v>
      </x:c>
      <x:c r="H45" s="13" t="n">
        <x:v>60</x:v>
      </x:c>
      <x:c r="I45" s="16" t="str">
        <x:v>보완 필요</x:v>
      </x:c>
      <x:c r="J45" s="13" t="str">
        <x:v>총점이 80점 미만; 예상 키워드 매칭 약함; 상위 근거 연관성 약함</x:v>
      </x:c>
      <x:c r="K45" s="13" t="str">
        <x:v>05_산업안전보건법_시행규칙.txt,11_안전보건관리체계_구축_가이드북.txt,05_산업안전보건법_시행규칙.txt,03_산업안전보건법.txt,13_2023_새로운_위험성평가_안내서.txt</x:v>
      </x:c>
    </x:row>
    <x:row r="46" ht="58" customHeight="1">
      <x:c r="A46" s="13" t="str">
        <x:v>Q065</x:v>
      </x:c>
      <x:c r="B46" s="13" t="str">
        <x:v>보호구/PPE</x:v>
      </x:c>
      <x:c r="C46" s="13" t="str">
        <x:v>분진 노출이 우려되는 작업에서 관리자가 작업자에게 무엇을 반드시 안내해야 하나?</x:v>
      </x:c>
      <x:c r="D46" s="13" t="n">
        <x:v>13</x:v>
      </x:c>
      <x:c r="E46" s="13" t="n">
        <x:v>16</x:v>
      </x:c>
      <x:c r="F46" s="13" t="n">
        <x:v>19</x:v>
      </x:c>
      <x:c r="G46" s="13" t="n">
        <x:v>19</x:v>
      </x:c>
      <x:c r="H46" s="13" t="n">
        <x:v>67</x:v>
      </x:c>
      <x:c r="I46" s="16" t="str">
        <x:v>보완 필요</x:v>
      </x:c>
      <x:c r="J46" s="13" t="str">
        <x:v>총점이 80점 미만; 예상 키워드 매칭 약함</x:v>
      </x:c>
      <x:c r="K46" s="13" t="str">
        <x:v>13_2023_새로운_위험성평가_안내서.txt,11_안전보건관리체계_구축_가이드북.txt,13_2023_새로운_위험성평가_안내서.txt,05_산업안전보건법_시행규칙.txt,13_2023_새로운_위험성평가_안내서.txt</x:v>
      </x:c>
    </x:row>
    <x:row r="47" ht="58" customHeight="1">
      <x:c r="A47" s="13" t="str">
        <x:v>Q066</x:v>
      </x:c>
      <x:c r="B47" s="13" t="str">
        <x:v>전기안전</x:v>
      </x:c>
      <x:c r="C47" s="13" t="str">
        <x:v>전기설비 점검 전 차단·잠금·표지 절차를 꼭 확인해야 하는 이유는 무엇인가?</x:v>
      </x:c>
      <x:c r="D47" s="13" t="n">
        <x:v>18</x:v>
      </x:c>
      <x:c r="E47" s="13" t="n">
        <x:v>20</x:v>
      </x:c>
      <x:c r="F47" s="13" t="n">
        <x:v>19</x:v>
      </x:c>
      <x:c r="G47" s="13" t="n">
        <x:v>19</x:v>
      </x:c>
      <x:c r="H47" s="13" t="n">
        <x:v>76</x:v>
      </x:c>
      <x:c r="I47" s="16" t="str">
        <x:v>보통</x:v>
      </x:c>
      <x:c r="J47" s="13" t="str">
        <x:v>총점이 80점 미만</x:v>
      </x:c>
      <x:c r="K47" s="13" t="str">
        <x:v>08_광산안전법_시행규칙.txt,11_안전보건관리체계_구축_가이드북.txt,09_광산안전기술기준_제10차개정_2024-12-19.txt,11_안전보건관리체계_구축_가이드북.txt,07_광산안전법_시행령.txt</x:v>
      </x:c>
    </x:row>
    <x:row r="48" ht="58" customHeight="1">
      <x:c r="A48" s="13" t="str">
        <x:v>Q067</x:v>
      </x:c>
      <x:c r="B48" s="13" t="str">
        <x:v>전기안전</x:v>
      </x:c>
      <x:c r="C48" s="13" t="str">
        <x:v>감전 위험이 있는 습기 많은 구간에서 작업 전 관리자가 확인해야 할 항목은 무엇인가?</x:v>
      </x:c>
      <x:c r="D48" s="13" t="n">
        <x:v>8</x:v>
      </x:c>
      <x:c r="E48" s="13" t="n">
        <x:v>16</x:v>
      </x:c>
      <x:c r="F48" s="13" t="n">
        <x:v>19</x:v>
      </x:c>
      <x:c r="G48" s="13" t="n">
        <x:v>19</x:v>
      </x:c>
      <x:c r="H48" s="13" t="n">
        <x:v>62</x:v>
      </x:c>
      <x:c r="I48" s="16" t="str">
        <x:v>보완 필요</x:v>
      </x:c>
      <x:c r="J48" s="13" t="str">
        <x:v>총점이 80점 미만; 예상 키워드 매칭 약함; 상위 근거 연관성 약함</x:v>
      </x:c>
      <x:c r="K48" s="13" t="str">
        <x:v>05_산업안전보건법_시행규칙.txt,03_산업안전보건법.txt,09_광산안전기술기준_제10차개정_2024-12-19.txt,04_산업안전보건법_시행령.txt,02_중대재해처벌법_시행령.txt</x:v>
      </x:c>
    </x:row>
    <x:row r="49" ht="58" customHeight="1">
      <x:c r="A49" s="13" t="str">
        <x:v>Q068</x:v>
      </x:c>
      <x:c r="B49" s="13" t="str">
        <x:v>전기안전</x:v>
      </x:c>
      <x:c r="C49" s="13" t="str">
        <x:v>누전차단기 트립이 발생했을 때 작업자에게 먼저 알려야 할 내용은 무엇인가?</x:v>
      </x:c>
      <x:c r="D49" s="13" t="n">
        <x:v>6</x:v>
      </x:c>
      <x:c r="E49" s="13" t="n">
        <x:v>16</x:v>
      </x:c>
      <x:c r="F49" s="13" t="n">
        <x:v>19</x:v>
      </x:c>
      <x:c r="G49" s="13" t="n">
        <x:v>19</x:v>
      </x:c>
      <x:c r="H49" s="13" t="n">
        <x:v>60</x:v>
      </x:c>
      <x:c r="I49" s="16" t="str">
        <x:v>보완 필요</x:v>
      </x:c>
      <x:c r="J49" s="13" t="str">
        <x:v>총점이 80점 미만; 예상 키워드 매칭 약함; 상위 근거 연관성 약함</x:v>
      </x:c>
      <x:c r="K49" s="13" t="str">
        <x:v>09_광산안전기술기준_제10차개정_2024-12-19.txt,13_2023_새로운_위험성평가_안내서.txt,13_2023_새로운_위험성평가_안내서.txt,13_2023_새로운_위험성평가_안내서.txt,13_2023_새로운_위험성평가_안내서.txt</x:v>
      </x:c>
    </x:row>
    <x:row r="50" ht="58" customHeight="1">
      <x:c r="A50" s="13" t="str">
        <x:v>Q069</x:v>
      </x:c>
      <x:c r="B50" s="13" t="str">
        <x:v>전기안전</x:v>
      </x:c>
      <x:c r="C50" s="13" t="str">
        <x:v>방폭형 설비 근처에서 작업을 시작하기 전 어떤 점검이 필요한가?</x:v>
      </x:c>
      <x:c r="D50" s="13" t="n">
        <x:v>16</x:v>
      </x:c>
      <x:c r="E50" s="13" t="n">
        <x:v>20</x:v>
      </x:c>
      <x:c r="F50" s="13" t="n">
        <x:v>19</x:v>
      </x:c>
      <x:c r="G50" s="13" t="n">
        <x:v>19</x:v>
      </x:c>
      <x:c r="H50" s="13" t="n">
        <x:v>74</x:v>
      </x:c>
      <x:c r="I50" s="16" t="str">
        <x:v>보통</x:v>
      </x:c>
      <x:c r="J50" s="13" t="str">
        <x:v>총점이 80점 미만</x:v>
      </x:c>
      <x:c r="K50" s="13" t="str">
        <x:v>09_광산안전기술기준_제10차개정_2024-12-19.txt,07_광산안전법_시행령.txt,05_산업안전보건법_시행규칙.txt,05_산업안전보건법_시행규칙.txt,05_산업안전보건법_시행규칙.txt</x:v>
      </x:c>
    </x:row>
    <x:row r="51" ht="58" customHeight="1">
      <x:c r="A51" s="13" t="str">
        <x:v>Q070</x:v>
      </x:c>
      <x:c r="B51" s="13" t="str">
        <x:v>장비/운반/차량</x:v>
      </x:c>
      <x:c r="C51" s="13" t="str">
        <x:v>운반장비 운행 전 통로와 조명 상태를 확인해야 하는 이유는 무엇인가?</x:v>
      </x:c>
      <x:c r="D51" s="13" t="n">
        <x:v>10</x:v>
      </x:c>
      <x:c r="E51" s="13" t="n">
        <x:v>16</x:v>
      </x:c>
      <x:c r="F51" s="13" t="n">
        <x:v>19</x:v>
      </x:c>
      <x:c r="G51" s="13" t="n">
        <x:v>19</x:v>
      </x:c>
      <x:c r="H51" s="13" t="n">
        <x:v>64</x:v>
      </x:c>
      <x:c r="I51" s="16" t="str">
        <x:v>보완 필요</x:v>
      </x:c>
      <x:c r="J51" s="13" t="str">
        <x:v>총점이 80점 미만; 예상 키워드 매칭 약함; 상위 근거 연관성 약함</x:v>
      </x:c>
      <x:c r="K51" s="13" t="str">
        <x:v>09_광산안전기술기준_제10차개정_2024-12-19.txt,09_광산안전기술기준_제10차개정_2024-12-19.txt,09_광산안전기술기준_제10차개정_2024-12-19.txt,09_광산안전기술기준_제10차개정_2024-12-19.txt,09_광산안전기술기준_제10차개정_2024-12-19.txt</x:v>
      </x:c>
    </x:row>
    <x:row r="52" ht="58" customHeight="1">
      <x:c r="A52" s="13" t="str">
        <x:v>Q071</x:v>
      </x:c>
      <x:c r="B52" s="13" t="str">
        <x:v>장비/운반/차량</x:v>
      </x:c>
      <x:c r="C52" s="13" t="str">
        <x:v>차량과 작업자가 같은 구역을 공유할 때 관리자가 우선 확보해야 할 것은 무엇인가?</x:v>
      </x:c>
      <x:c r="D52" s="13" t="n">
        <x:v>8</x:v>
      </x:c>
      <x:c r="E52" s="13" t="n">
        <x:v>16</x:v>
      </x:c>
      <x:c r="F52" s="13" t="n">
        <x:v>19</x:v>
      </x:c>
      <x:c r="G52" s="13" t="n">
        <x:v>19</x:v>
      </x:c>
      <x:c r="H52" s="13" t="n">
        <x:v>62</x:v>
      </x:c>
      <x:c r="I52" s="16" t="str">
        <x:v>보완 필요</x:v>
      </x:c>
      <x:c r="J52" s="13" t="str">
        <x:v>총점이 80점 미만; 예상 키워드 매칭 약함; 상위 근거 연관성 약함</x:v>
      </x:c>
      <x:c r="K52" s="13" t="str">
        <x:v>03_산업안전보건법.txt,04_산업안전보건법_시행령.txt,04_산업안전보건법_시행령.txt,05_산업안전보건법_시행규칙.txt,11_안전보건관리체계_구축_가이드북.txt</x:v>
      </x:c>
    </x:row>
    <x:row r="53" ht="58" customHeight="1">
      <x:c r="A53" s="13" t="str">
        <x:v>Q072</x:v>
      </x:c>
      <x:c r="B53" s="13" t="str">
        <x:v>장비/운반/차량</x:v>
      </x:c>
      <x:c r="C53" s="13" t="str">
        <x:v>경사로를 이용하는 운반장비에 적재물이 불안정할 때 어떤 조치를 해야 하나?</x:v>
      </x:c>
      <x:c r="D53" s="13" t="n">
        <x:v>13</x:v>
      </x:c>
      <x:c r="E53" s="13" t="n">
        <x:v>20</x:v>
      </x:c>
      <x:c r="F53" s="13" t="n">
        <x:v>19</x:v>
      </x:c>
      <x:c r="G53" s="13" t="n">
        <x:v>19</x:v>
      </x:c>
      <x:c r="H53" s="13" t="n">
        <x:v>71</x:v>
      </x:c>
      <x:c r="I53" s="16" t="str">
        <x:v>보통</x:v>
      </x:c>
      <x:c r="J53" s="13" t="str">
        <x:v>총점이 80점 미만</x:v>
      </x:c>
      <x:c r="K53" s="13" t="str">
        <x:v>09_광산안전기술기준_제10차개정_2024-12-19.txt,09_광산안전기술기준_제10차개정_2024-12-19.txt,13_2023_새로운_위험성평가_안내서.txt,11_안전보건관리체계_구축_가이드북.txt,08_광산안전법_시행규칙.txt</x:v>
      </x:c>
    </x:row>
    <x:row r="54" ht="58" customHeight="1">
      <x:c r="A54" s="13" t="str">
        <x:v>Q073</x:v>
      </x:c>
      <x:c r="B54" s="13" t="str">
        <x:v>위험성평가/작업허가/기록관리</x:v>
      </x:c>
      <x:c r="C54" s="13" t="str">
        <x:v>작업허가가 필요한 공정에서 관리자가 작업 전 확인해야 할 핵심 사항은 무엇인가?</x:v>
      </x:c>
      <x:c r="D54" s="13" t="n">
        <x:v>18</x:v>
      </x:c>
      <x:c r="E54" s="13" t="n">
        <x:v>20</x:v>
      </x:c>
      <x:c r="F54" s="13" t="n">
        <x:v>19</x:v>
      </x:c>
      <x:c r="G54" s="13" t="n">
        <x:v>19</x:v>
      </x:c>
      <x:c r="H54" s="13" t="n">
        <x:v>76</x:v>
      </x:c>
      <x:c r="I54" s="16" t="str">
        <x:v>보통</x:v>
      </x:c>
      <x:c r="J54" s="13" t="str">
        <x:v>총점이 80점 미만</x:v>
      </x:c>
      <x:c r="K54" s="13" t="str">
        <x:v>03_산업안전보건법.txt,03_산업안전보건법.txt,03_산업안전보건법.txt,03_산업안전보건법.txt,03_산업안전보건법.txt</x:v>
      </x:c>
    </x:row>
    <x:row r="55" ht="58" customHeight="1">
      <x:c r="A55" s="13" t="str">
        <x:v>Q074</x:v>
      </x:c>
      <x:c r="B55" s="13" t="str">
        <x:v>위험성평가/작업허가/기록관리</x:v>
      </x:c>
      <x:c r="C55" s="13" t="str">
        <x:v>위험성평가 결과를 작업 전 현장 작업자에게 공유하지 않으면 생길 수 있는 문제는 무엇인가?</x:v>
      </x:c>
      <x:c r="D55" s="13" t="n">
        <x:v>18</x:v>
      </x:c>
      <x:c r="E55" s="13" t="n">
        <x:v>20</x:v>
      </x:c>
      <x:c r="F55" s="13" t="n">
        <x:v>19</x:v>
      </x:c>
      <x:c r="G55" s="13" t="n">
        <x:v>19</x:v>
      </x:c>
      <x:c r="H55" s="13" t="n">
        <x:v>76</x:v>
      </x:c>
      <x:c r="I55" s="16" t="str">
        <x:v>보통</x:v>
      </x:c>
      <x:c r="J55" s="13" t="str">
        <x:v>총점이 80점 미만</x:v>
      </x:c>
      <x:c r="K55" s="13" t="str">
        <x:v>13_2023_새로운_위험성평가_안내서.txt,13_2023_새로운_위험성평가_안내서.txt,13_2023_새로운_위험성평가_안내서.txt,13_2023_새로운_위험성평가_안내서.txt,13_2023_새로운_위험성평가_안내서.txt</x:v>
      </x:c>
    </x:row>
    <x:row r="56" ht="58" customHeight="1">
      <x:c r="A56" s="13" t="str">
        <x:v>Q075</x:v>
      </x:c>
      <x:c r="B56" s="13" t="str">
        <x:v>위험성평가/작업허가/기록관리</x:v>
      </x:c>
      <x:c r="C56" s="13" t="str">
        <x:v>작업 절차가 바뀌었을 때 기존 기록을 그대로 쓰는 것이 적절한지 어떤 점을 확인해야 하나?</x:v>
      </x:c>
      <x:c r="D56" s="13" t="n">
        <x:v>16</x:v>
      </x:c>
      <x:c r="E56" s="13" t="n">
        <x:v>16</x:v>
      </x:c>
      <x:c r="F56" s="13" t="n">
        <x:v>19</x:v>
      </x:c>
      <x:c r="G56" s="13" t="n">
        <x:v>19</x:v>
      </x:c>
      <x:c r="H56" s="13" t="n">
        <x:v>70</x:v>
      </x:c>
      <x:c r="I56" s="16" t="str">
        <x:v>보통</x:v>
      </x:c>
      <x:c r="J56" s="13" t="str">
        <x:v>총점이 80점 미만; 예상 키워드 매칭 약함</x:v>
      </x:c>
      <x:c r="K56" s="13" t="str">
        <x:v>05_산업안전보건법_시행규칙.txt,13_2023_새로운_위험성평가_안내서.txt,13_2023_새로운_위험성평가_안내서.txt,13_2023_새로운_위험성평가_안내서.txt,13_2023_새로운_위험성평가_안내서.txt</x:v>
      </x:c>
    </x:row>
    <x:row r="57" ht="58" customHeight="1">
      <x:c r="A57" s="13" t="str">
        <x:v>Q076</x:v>
      </x:c>
      <x:c r="B57" s="13" t="str">
        <x:v>사고보고/응급조치</x:v>
      </x:c>
      <x:c r="C57" s="13" t="str">
        <x:v>사고 발생 직후 현장 관리자가 가장 먼저 해야 할 행동은 무엇인가?</x:v>
      </x:c>
      <x:c r="D57" s="13" t="n">
        <x:v>8</x:v>
      </x:c>
      <x:c r="E57" s="13" t="n">
        <x:v>16</x:v>
      </x:c>
      <x:c r="F57" s="13" t="n">
        <x:v>19</x:v>
      </x:c>
      <x:c r="G57" s="13" t="n">
        <x:v>19</x:v>
      </x:c>
      <x:c r="H57" s="13" t="n">
        <x:v>62</x:v>
      </x:c>
      <x:c r="I57" s="16" t="str">
        <x:v>보완 필요</x:v>
      </x:c>
      <x:c r="J57" s="13" t="str">
        <x:v>총점이 80점 미만; 예상 키워드 매칭 약함; 상위 근거 연관성 약함</x:v>
      </x:c>
      <x:c r="K57" s="13" t="str">
        <x:v>04_산업안전보건법_시행령.txt,11_안전보건관리체계_구축_가이드북.txt,04_산업안전보건법_시행령.txt,11_안전보건관리체계_구축_가이드북.txt,09_광산안전기술기준_제10차개정_2024-12-19.txt</x:v>
      </x:c>
    </x:row>
    <x:row r="58" ht="58" customHeight="1">
      <x:c r="A58" s="13" t="str">
        <x:v>Q077</x:v>
      </x:c>
      <x:c r="B58" s="13" t="str">
        <x:v>사고보고/응급조치</x:v>
      </x:c>
      <x:c r="C58" s="13" t="str">
        <x:v>사고 현장에 추가 작업자가 접근할 때 관리자가 막아야 할 이유는 무엇인가?</x:v>
      </x:c>
      <x:c r="D58" s="13" t="n">
        <x:v>8</x:v>
      </x:c>
      <x:c r="E58" s="13" t="n">
        <x:v>16</x:v>
      </x:c>
      <x:c r="F58" s="13" t="n">
        <x:v>19</x:v>
      </x:c>
      <x:c r="G58" s="13" t="n">
        <x:v>19</x:v>
      </x:c>
      <x:c r="H58" s="13" t="n">
        <x:v>62</x:v>
      </x:c>
      <x:c r="I58" s="16" t="str">
        <x:v>보완 필요</x:v>
      </x:c>
      <x:c r="J58" s="13" t="str">
        <x:v>총점이 80점 미만; 예상 키워드 매칭 약함; 상위 근거 연관성 약함</x:v>
      </x:c>
      <x:c r="K58" s="13" t="str">
        <x:v>04_산업안전보건법_시행령.txt,04_산업안전보건법_시행령.txt,03_산업안전보건법.txt,11_안전보건관리체계_구축_가이드북.txt,11_안전보건관리체계_구축_가이드북.txt</x:v>
      </x:c>
    </x:row>
    <x:row r="59" ht="58" customHeight="1">
      <x:c r="A59" s="13" t="str">
        <x:v>Q078</x:v>
      </x:c>
      <x:c r="B59" s="13" t="str">
        <x:v>사고보고/응급조치</x:v>
      </x:c>
      <x:c r="C59" s="13" t="str">
        <x:v>사고 후 응급처치와 함께 확보해야 할 자료는 무엇인가?</x:v>
      </x:c>
      <x:c r="D59" s="13" t="n">
        <x:v>15</x:v>
      </x:c>
      <x:c r="E59" s="13" t="n">
        <x:v>16</x:v>
      </x:c>
      <x:c r="F59" s="13" t="n">
        <x:v>19</x:v>
      </x:c>
      <x:c r="G59" s="13" t="n">
        <x:v>19</x:v>
      </x:c>
      <x:c r="H59" s="13" t="n">
        <x:v>69</x:v>
      </x:c>
      <x:c r="I59" s="16" t="str">
        <x:v>보완 필요</x:v>
      </x:c>
      <x:c r="J59" s="13" t="str">
        <x:v>총점이 80점 미만; 예상 키워드 매칭 약함</x:v>
      </x:c>
      <x:c r="K59" s="13" t="str">
        <x:v>13_2023_새로운_위험성평가_안내서.txt,11_안전보건관리체계_구축_가이드북.txt,11_안전보건관리체계_구축_가이드북.txt,10_광산안전업무_처리지침_2025-35_latest.txt,11_안전보건관리체계_구축_가이드북.txt</x:v>
      </x:c>
    </x:row>
    <x:row r="60" ht="58" customHeight="1">
      <x:c r="A60" s="13" t="str">
        <x:v>Q079</x:v>
      </x:c>
      <x:c r="B60" s="13" t="str">
        <x:v>복합위험/중대재해 대응</x:v>
      </x:c>
      <x:c r="C60" s="13" t="str">
        <x:v>여러 위험요인이 동시에 있는 작업에서 관리자가 우선순위를 어떻게 정해야 하나?</x:v>
      </x:c>
      <x:c r="D60" s="13" t="n">
        <x:v>13</x:v>
      </x:c>
      <x:c r="E60" s="13" t="n">
        <x:v>16</x:v>
      </x:c>
      <x:c r="F60" s="13" t="n">
        <x:v>19</x:v>
      </x:c>
      <x:c r="G60" s="13" t="n">
        <x:v>19</x:v>
      </x:c>
      <x:c r="H60" s="13" t="n">
        <x:v>67</x:v>
      </x:c>
      <x:c r="I60" s="16" t="str">
        <x:v>보완 필요</x:v>
      </x:c>
      <x:c r="J60" s="13" t="str">
        <x:v>총점이 80점 미만; 예상 키워드 매칭 약함</x:v>
      </x:c>
      <x:c r="K60" s="13" t="str">
        <x:v>11_안전보건관리체계_구축_가이드북.txt,13_2023_새로운_위험성평가_안내서.txt,11_안전보건관리체계_구축_가이드북.txt,13_2023_새로운_위험성평가_안내서.txt,13_2023_새로운_위험성평가_안내서.txt</x:v>
      </x:c>
    </x:row>
    <x:row r="61" ht="58" customHeight="1">
      <x:c r="A61" s="13" t="str">
        <x:v>Q080</x:v>
      </x:c>
      <x:c r="B61" s="13" t="str">
        <x:v>복합위험/중대재해 대응</x:v>
      </x:c>
      <x:c r="C61" s="13" t="str">
        <x:v>중대재해 의심 상황에서 관리자가 남겨야 할 초기 기록은 무엇인가?</x:v>
      </x:c>
      <x:c r="D61" s="13" t="n">
        <x:v>13</x:v>
      </x:c>
      <x:c r="E61" s="13" t="n">
        <x:v>16</x:v>
      </x:c>
      <x:c r="F61" s="13" t="n">
        <x:v>19</x:v>
      </x:c>
      <x:c r="G61" s="13" t="n">
        <x:v>19</x:v>
      </x:c>
      <x:c r="H61" s="13" t="n">
        <x:v>67</x:v>
      </x:c>
      <x:c r="I61" s="16" t="str">
        <x:v>보완 필요</x:v>
      </x:c>
      <x:c r="J61" s="13" t="str">
        <x:v>총점이 80점 미만; 예상 키워드 매칭 약함</x:v>
      </x:c>
      <x:c r="K61" s="13" t="str">
        <x:v>11_안전보건관리체계_구축_가이드북.txt,04_산업안전보건법_시행령.txt,04_산업안전보건법_시행령.txt,11_안전보건관리체계_구축_가이드북.txt,03_산업안전보건법.txt</x:v>
      </x:c>
    </x:row>
    <x:row r="62" ht="58" customHeight="1">
      <x:c r="A62" s="13" t="str">
        <x:v>Q081</x:v>
      </x:c>
      <x:c r="B62" s="13" t="str">
        <x:v>복합위험/중대재해 대응</x:v>
      </x:c>
      <x:c r="C62" s="13" t="str">
        <x:v>현장에 여러 위험요인이 중첩될 때 작업 재개를 결정하기 전에 무엇을 확인해야 하나?</x:v>
      </x:c>
      <x:c r="D62" s="13" t="n">
        <x:v>18</x:v>
      </x:c>
      <x:c r="E62" s="13" t="n">
        <x:v>16</x:v>
      </x:c>
      <x:c r="F62" s="13" t="n">
        <x:v>19</x:v>
      </x:c>
      <x:c r="G62" s="13" t="n">
        <x:v>19</x:v>
      </x:c>
      <x:c r="H62" s="13" t="n">
        <x:v>72</x:v>
      </x:c>
      <x:c r="I62" s="16" t="str">
        <x:v>보통</x:v>
      </x:c>
      <x:c r="J62" s="13" t="str">
        <x:v>총점이 80점 미만; 예상 키워드 매칭 약함</x:v>
      </x:c>
      <x:c r="K62" s="13" t="str">
        <x:v>13_2023_새로운_위험성평가_안내서.txt,13_2023_새로운_위험성평가_안내서.txt,13_2023_새로운_위험성평가_안내서.txt,05_산업안전보건법_시행규칙.txt,13_2023_새로운_위험성평가_안내서.txt</x:v>
      </x:c>
    </x:row>
    <x:row r="63" ht="58" customHeight="1">
      <x:c r="A63" s="13" t="str">
        <x:v>Q082</x:v>
      </x:c>
      <x:c r="B63" s="13" t="str">
        <x:v>전기안전</x:v>
      </x:c>
      <x:c r="C63" s="13" t="str">
        <x:v>전기차단기 앞에 작업자가 서 있으면 관리자가 먼저 해야 할 조치는 무엇인가?</x:v>
      </x:c>
      <x:c r="D63" s="13" t="n">
        <x:v>18</x:v>
      </x:c>
      <x:c r="E63" s="13" t="n">
        <x:v>20</x:v>
      </x:c>
      <x:c r="F63" s="13" t="n">
        <x:v>19</x:v>
      </x:c>
      <x:c r="G63" s="13" t="n">
        <x:v>19</x:v>
      </x:c>
      <x:c r="H63" s="13" t="n">
        <x:v>76</x:v>
      </x:c>
      <x:c r="I63" s="16" t="str">
        <x:v>보통</x:v>
      </x:c>
      <x:c r="J63" s="13" t="str">
        <x:v>총점이 80점 미만</x:v>
      </x:c>
      <x:c r="K63" s="13" t="str">
        <x:v>03_산업안전보건법.txt,03_산업안전보건법.txt,09_광산안전기술기준_제10차개정_2024-12-19.txt,04_산업안전보건법_시행령.txt,11_안전보건관리체계_구축_가이드북.txt</x:v>
      </x:c>
    </x:row>
    <x:row r="64" ht="58" customHeight="1">
      <x:c r="A64" s="13" t="str">
        <x:v>Q083</x:v>
      </x:c>
      <x:c r="B64" s="13" t="str">
        <x:v>전기안전</x:v>
      </x:c>
      <x:c r="C64" s="13" t="str">
        <x:v>전기 설비 점검 중 잠금표지가 사라졌을 때 관리자가 해야 할 행동은 무엇인가?</x:v>
      </x:c>
      <x:c r="D64" s="13" t="n">
        <x:v>18</x:v>
      </x:c>
      <x:c r="E64" s="13" t="n">
        <x:v>20</x:v>
      </x:c>
      <x:c r="F64" s="13" t="n">
        <x:v>19</x:v>
      </x:c>
      <x:c r="G64" s="13" t="n">
        <x:v>19</x:v>
      </x:c>
      <x:c r="H64" s="13" t="n">
        <x:v>76</x:v>
      </x:c>
      <x:c r="I64" s="16" t="str">
        <x:v>보통</x:v>
      </x:c>
      <x:c r="J64" s="13" t="str">
        <x:v>총점이 80점 미만</x:v>
      </x:c>
      <x:c r="K64" s="13" t="str">
        <x:v>09_광산안전기술기준_제10차개정_2024-12-19.txt,11_안전보건관리체계_구축_가이드북.txt,08_광산안전법_시행규칙.txt,09_광산안전기술기준_제10차개정_2024-12-19.txt,10_광산안전업무_처리지침_2025-35_latest.txt</x:v>
      </x:c>
    </x:row>
    <x:row r="65" ht="58" customHeight="1">
      <x:c r="A65" s="13" t="str">
        <x:v>Q084</x:v>
      </x:c>
      <x:c r="B65" s="13" t="str">
        <x:v>장비/운반/차량</x:v>
      </x:c>
      <x:c r="C65" s="13" t="str">
        <x:v>운반장비 후진 시 작업자와의 충돌 위험을 줄이려면 무엇을 확인해야 하나?</x:v>
      </x:c>
      <x:c r="D65" s="13" t="n">
        <x:v>16</x:v>
      </x:c>
      <x:c r="E65" s="13" t="n">
        <x:v>16</x:v>
      </x:c>
      <x:c r="F65" s="13" t="n">
        <x:v>19</x:v>
      </x:c>
      <x:c r="G65" s="13" t="n">
        <x:v>19</x:v>
      </x:c>
      <x:c r="H65" s="13" t="n">
        <x:v>70</x:v>
      </x:c>
      <x:c r="I65" s="16" t="str">
        <x:v>보통</x:v>
      </x:c>
      <x:c r="J65" s="13" t="str">
        <x:v>총점이 80점 미만; 예상 키워드 매칭 약함</x:v>
      </x:c>
      <x:c r="K65" s="13" t="str">
        <x:v>11_안전보건관리체계_구축_가이드북.txt,13_2023_새로운_위험성평가_안내서.txt,11_안전보건관리체계_구축_가이드북.txt,11_안전보건관리체계_구축_가이드북.txt,11_안전보건관리체계_구축_가이드북.txt</x:v>
      </x:c>
    </x:row>
    <x:row r="66" ht="58" customHeight="1">
      <x:c r="A66" s="13" t="str">
        <x:v>Q085</x:v>
      </x:c>
      <x:c r="B66" s="13" t="str">
        <x:v>장비/운반/차량</x:v>
      </x:c>
      <x:c r="C66" s="13" t="str">
        <x:v>차량 통로에 장애물이 있으면 관리자가 어떻게 처리해야 하나?</x:v>
      </x:c>
      <x:c r="D66" s="13" t="n">
        <x:v>15</x:v>
      </x:c>
      <x:c r="E66" s="13" t="n">
        <x:v>20</x:v>
      </x:c>
      <x:c r="F66" s="13" t="n">
        <x:v>19</x:v>
      </x:c>
      <x:c r="G66" s="13" t="n">
        <x:v>19</x:v>
      </x:c>
      <x:c r="H66" s="13" t="n">
        <x:v>73</x:v>
      </x:c>
      <x:c r="I66" s="16" t="str">
        <x:v>보통</x:v>
      </x:c>
      <x:c r="J66" s="13" t="str">
        <x:v>총점이 80점 미만</x:v>
      </x:c>
      <x:c r="K66" s="13" t="str">
        <x:v>04_산업안전보건법_시행령.txt,09_광산안전기술기준_제10차개정_2024-12-19.txt,13_2023_새로운_위험성평가_안내서.txt,09_광산안전기술기준_제10차개정_2024-12-19.txt,09_광산안전기술기준_제10차개정_2024-12-19.txt</x:v>
      </x:c>
    </x:row>
    <x:row r="67" ht="58" customHeight="1">
      <x:c r="A67" s="13" t="str">
        <x:v>Q086</x:v>
      </x:c>
      <x:c r="B67" s="13" t="str">
        <x:v>위험성평가/작업허가/기록관리</x:v>
      </x:c>
      <x:c r="C67" s="13" t="str">
        <x:v>작업허가가 없는 작업을 발견했을 때 관리자가 우선해야 할 조치는 무엇인가?</x:v>
      </x:c>
      <x:c r="D67" s="13" t="n">
        <x:v>6</x:v>
      </x:c>
      <x:c r="E67" s="13" t="n">
        <x:v>16</x:v>
      </x:c>
      <x:c r="F67" s="13" t="n">
        <x:v>19</x:v>
      </x:c>
      <x:c r="G67" s="13" t="n">
        <x:v>19</x:v>
      </x:c>
      <x:c r="H67" s="13" t="n">
        <x:v>60</x:v>
      </x:c>
      <x:c r="I67" s="16" t="str">
        <x:v>보완 필요</x:v>
      </x:c>
      <x:c r="J67" s="13" t="str">
        <x:v>총점이 80점 미만; 예상 키워드 매칭 약함; 상위 근거 연관성 약함</x:v>
      </x:c>
      <x:c r="K67" s="13" t="str">
        <x:v>03_산업안전보건법.txt,04_산업안전보건법_시행령.txt,05_산업안전보건법_시행규칙.txt,03_산업안전보건법.txt,11_안전보건관리체계_구축_가이드북.txt</x:v>
      </x:c>
    </x:row>
    <x:row r="68" ht="58" customHeight="1">
      <x:c r="A68" s="13" t="str">
        <x:v>Q087</x:v>
      </x:c>
      <x:c r="B68" s="13" t="str">
        <x:v>사고보고/응급조치</x:v>
      </x:c>
      <x:c r="C68" s="13" t="str">
        <x:v>응급조치 후 추가 사고 위험이 남아 있다면 관리자가 다음으로 해야 할 일은 무엇인가?</x:v>
      </x:c>
      <x:c r="D68" s="13" t="n">
        <x:v>15</x:v>
      </x:c>
      <x:c r="E68" s="13" t="n">
        <x:v>16</x:v>
      </x:c>
      <x:c r="F68" s="13" t="n">
        <x:v>19</x:v>
      </x:c>
      <x:c r="G68" s="13" t="n">
        <x:v>19</x:v>
      </x:c>
      <x:c r="H68" s="13" t="n">
        <x:v>69</x:v>
      </x:c>
      <x:c r="I68" s="16" t="str">
        <x:v>보완 필요</x:v>
      </x:c>
      <x:c r="J68" s="13" t="str">
        <x:v>총점이 80점 미만; 예상 키워드 매칭 약함</x:v>
      </x:c>
      <x:c r="K68" s="13" t="str">
        <x:v>11_안전보건관리체계_구축_가이드북.txt,11_안전보건관리체계_구축_가이드북.txt,04_산업안전보건법_시행령.txt,04_산업안전보건법_시행령.txt,11_안전보건관리체계_구축_가이드북.txt</x:v>
      </x:c>
    </x:row>
    <x:row r="69" ht="58" customHeight="1">
      <x:c r="A69" s="13" t="str">
        <x:v>Q088</x:v>
      </x:c>
      <x:c r="B69" s="13" t="str">
        <x:v>복합위험/중대재해 대응</x:v>
      </x:c>
      <x:c r="C69" s="13" t="str">
        <x:v>작업 전 여러 위험요인이 동시에 보이면 관리자가 어떻게 우선 조치해야 하나?</x:v>
      </x:c>
      <x:c r="D69" s="13" t="n">
        <x:v>18</x:v>
      </x:c>
      <x:c r="E69" s="13" t="n">
        <x:v>16</x:v>
      </x:c>
      <x:c r="F69" s="13" t="n">
        <x:v>19</x:v>
      </x:c>
      <x:c r="G69" s="13" t="n">
        <x:v>19</x:v>
      </x:c>
      <x:c r="H69" s="13" t="n">
        <x:v>72</x:v>
      </x:c>
      <x:c r="I69" s="16" t="str">
        <x:v>보통</x:v>
      </x:c>
      <x:c r="J69" s="13" t="str">
        <x:v>총점이 80점 미만; 예상 키워드 매칭 약함</x:v>
      </x:c>
      <x:c r="K69" s="13" t="str">
        <x:v>11_안전보건관리체계_구축_가이드북.txt,11_안전보건관리체계_구축_가이드북.txt,13_2023_새로운_위험성평가_안내서.txt,03_산업안전보건법.txt,13_2023_새로운_위험성평가_안내서.txt</x:v>
      </x:c>
    </x:row>
    <x:row r="70" ht="58" customHeight="1">
      <x:c r="A70" s="13" t="str">
        <x:v>Q089</x:v>
      </x:c>
      <x:c r="B70" s="13" t="str">
        <x:v>전기안전</x:v>
      </x:c>
      <x:c r="C70" s="13" t="str">
        <x:v>감전 우려가 있는 장비를 수리하려면 작업 전 무엇을 반드시 확인해야 하나?</x:v>
      </x:c>
      <x:c r="D70" s="13" t="n">
        <x:v>18</x:v>
      </x:c>
      <x:c r="E70" s="13" t="n">
        <x:v>20</x:v>
      </x:c>
      <x:c r="F70" s="13" t="n">
        <x:v>19</x:v>
      </x:c>
      <x:c r="G70" s="13" t="n">
        <x:v>19</x:v>
      </x:c>
      <x:c r="H70" s="13" t="n">
        <x:v>76</x:v>
      </x:c>
      <x:c r="I70" s="16" t="str">
        <x:v>보통</x:v>
      </x:c>
      <x:c r="J70" s="13" t="str">
        <x:v>총점이 80점 미만</x:v>
      </x:c>
      <x:c r="K70" s="13" t="str">
        <x:v>09_광산안전기술기준_제10차개정_2024-12-19.txt,11_안전보건관리체계_구축_가이드북.txt,05_산업안전보건법_시행규칙.txt,08_광산안전법_시행규칙.txt,11_안전보건관리체계_구축_가이드북.txt</x:v>
      </x:c>
    </x:row>
    <x:row r="71" ht="58" customHeight="1">
      <x:c r="A71" s="13" t="str">
        <x:v>Q090</x:v>
      </x:c>
      <x:c r="B71" s="13" t="str">
        <x:v>장비/운반/차량</x:v>
      </x:c>
      <x:c r="C71" s="13" t="str">
        <x:v>운반차량 운행 중 경보음이 작동하지 않으면 관리자가 무엇을 해야 하나?</x:v>
      </x:c>
      <x:c r="D71" s="13" t="n">
        <x:v>18</x:v>
      </x:c>
      <x:c r="E71" s="13" t="n">
        <x:v>16</x:v>
      </x:c>
      <x:c r="F71" s="13" t="n">
        <x:v>19</x:v>
      </x:c>
      <x:c r="G71" s="13" t="n">
        <x:v>19</x:v>
      </x:c>
      <x:c r="H71" s="13" t="n">
        <x:v>72</x:v>
      </x:c>
      <x:c r="I71" s="16" t="str">
        <x:v>보통</x:v>
      </x:c>
      <x:c r="J71" s="13" t="str">
        <x:v>총점이 80점 미만; 예상 키워드 매칭 약함</x:v>
      </x:c>
      <x:c r="K71" s="13" t="str">
        <x:v>09_광산안전기술기준_제10차개정_2024-12-19.txt,11_안전보건관리체계_구축_가이드북.txt,09_광산안전기술기준_제10차개정_2024-12-19.txt,09_광산안전기술기준_제10차개정_2024-12-19.txt,09_광산안전기술기준_제10차개정_2024-12-19.txt</x:v>
      </x:c>
    </x:row>
    <x:row r="72" ht="58" customHeight="1">
      <x:c r="A72" s="13" t="str">
        <x:v>Q091</x:v>
      </x:c>
      <x:c r="B72" s="13" t="str">
        <x:v>위험성평가/작업허가/기록관리</x:v>
      </x:c>
      <x:c r="C72" s="13" t="str">
        <x:v>작업허가서 내용을 현장 작업자와 다르게 이해하고 있다면 관리자가 무엇을 해야 하나?</x:v>
      </x:c>
      <x:c r="D72" s="13" t="n">
        <x:v>16</x:v>
      </x:c>
      <x:c r="E72" s="13" t="n">
        <x:v>20</x:v>
      </x:c>
      <x:c r="F72" s="13" t="n">
        <x:v>19</x:v>
      </x:c>
      <x:c r="G72" s="13" t="n">
        <x:v>19</x:v>
      </x:c>
      <x:c r="H72" s="13" t="n">
        <x:v>74</x:v>
      </x:c>
      <x:c r="I72" s="16" t="str">
        <x:v>보통</x:v>
      </x:c>
      <x:c r="J72" s="13" t="str">
        <x:v>총점이 80점 미만</x:v>
      </x:c>
      <x:c r="K72" s="13" t="str">
        <x:v>11_안전보건관리체계_구축_가이드북.txt,03_산업안전보건법.txt,11_안전보건관리체계_구축_가이드북.txt,04_산업안전보건법_시행령.txt,13_2023_새로운_위험성평가_안내서.txt</x:v>
      </x:c>
    </x:row>
    <x:row r="73" ht="58" customHeight="1">
      <x:c r="A73" s="13" t="str">
        <x:v>Q092</x:v>
      </x:c>
      <x:c r="B73" s="13" t="str">
        <x:v>사고보고/응급조치</x:v>
      </x:c>
      <x:c r="C73" s="13" t="str">
        <x:v>사고 발생 후 최초 보고를 누가 해야 하는지 관리자가 확인해야 할 이유는 무엇인가?</x:v>
      </x:c>
      <x:c r="D73" s="13" t="n">
        <x:v>15</x:v>
      </x:c>
      <x:c r="E73" s="13" t="n">
        <x:v>16</x:v>
      </x:c>
      <x:c r="F73" s="13" t="n">
        <x:v>19</x:v>
      </x:c>
      <x:c r="G73" s="13" t="n">
        <x:v>19</x:v>
      </x:c>
      <x:c r="H73" s="13" t="n">
        <x:v>69</x:v>
      </x:c>
      <x:c r="I73" s="16" t="str">
        <x:v>보완 필요</x:v>
      </x:c>
      <x:c r="J73" s="13" t="str">
        <x:v>총점이 80점 미만; 예상 키워드 매칭 약함</x:v>
      </x:c>
      <x:c r="K73" s="13" t="str">
        <x:v>03_산업안전보건법.txt,04_산업안전보건법_시행령.txt,03_산업안전보건법.txt,05_산업안전보건법_시행규칙.txt,13_2023_새로운_위험성평가_안내서.txt</x:v>
      </x:c>
    </x:row>
    <x:row r="74" ht="58" customHeight="1">
      <x:c r="A74" s="13" t="str">
        <x:v>Q093</x:v>
      </x:c>
      <x:c r="B74" s="13" t="str">
        <x:v>복합위험/중대재해 대응</x:v>
      </x:c>
      <x:c r="C74" s="13" t="str">
        <x:v>중대재해 의심 상황에서 현장 보존이 중요한 이유는 무엇인가?</x:v>
      </x:c>
      <x:c r="D74" s="13" t="n">
        <x:v>13</x:v>
      </x:c>
      <x:c r="E74" s="13" t="n">
        <x:v>20</x:v>
      </x:c>
      <x:c r="F74" s="13" t="n">
        <x:v>19</x:v>
      </x:c>
      <x:c r="G74" s="13" t="n">
        <x:v>19</x:v>
      </x:c>
      <x:c r="H74" s="13" t="n">
        <x:v>71</x:v>
      </x:c>
      <x:c r="I74" s="16" t="str">
        <x:v>보통</x:v>
      </x:c>
      <x:c r="J74" s="13" t="str">
        <x:v>총점이 80점 미만</x:v>
      </x:c>
      <x:c r="K74" s="13" t="str">
        <x:v>13_2023_새로운_위험성평가_안내서.txt,03_산업안전보건법.txt,11_안전보건관리체계_구축_가이드북.txt,13_2023_새로운_위험성평가_안내서.txt,03_산업안전보건법.txt</x:v>
      </x:c>
    </x:row>
    <x:row r="75" ht="58" customHeight="1">
      <x:c r="A75" s="13" t="str">
        <x:v>Q094</x:v>
      </x:c>
      <x:c r="B75" s="13" t="str">
        <x:v>전기안전</x:v>
      </x:c>
      <x:c r="C75" s="13" t="str">
        <x:v>전기 설비 부근에 물기나 습기가 있으면 관리자가 우선 해야 할 점은 무엇인가?</x:v>
      </x:c>
      <x:c r="D75" s="13" t="n">
        <x:v>18</x:v>
      </x:c>
      <x:c r="E75" s="13" t="n">
        <x:v>16</x:v>
      </x:c>
      <x:c r="F75" s="13" t="n">
        <x:v>19</x:v>
      </x:c>
      <x:c r="G75" s="13" t="n">
        <x:v>19</x:v>
      </x:c>
      <x:c r="H75" s="13" t="n">
        <x:v>72</x:v>
      </x:c>
      <x:c r="I75" s="16" t="str">
        <x:v>보통</x:v>
      </x:c>
      <x:c r="J75" s="13" t="str">
        <x:v>총점이 80점 미만; 예상 키워드 매칭 약함</x:v>
      </x:c>
      <x:c r="K75" s="13" t="str">
        <x:v>09_광산안전기술기준_제10차개정_2024-12-19.txt,11_안전보건관리체계_구축_가이드북.txt,09_광산안전기술기준_제10차개정_2024-12-19.txt,03_산업안전보건법.txt,10_광산안전업무_처리지침_2025-35_latest.txt</x:v>
      </x:c>
    </x:row>
    <x:row r="76" ht="58" customHeight="1">
      <x:c r="A76" s="13" t="str">
        <x:v>Q095</x:v>
      </x:c>
      <x:c r="B76" s="13" t="str">
        <x:v>장비/운반/차량</x:v>
      </x:c>
      <x:c r="C76" s="13" t="str">
        <x:v>운반장비와 보행자 동선이 겹칠 때 어떤 통제를 먼저 해야 하나?</x:v>
      </x:c>
      <x:c r="D76" s="13" t="n">
        <x:v>16</x:v>
      </x:c>
      <x:c r="E76" s="13" t="n">
        <x:v>16</x:v>
      </x:c>
      <x:c r="F76" s="13" t="n">
        <x:v>19</x:v>
      </x:c>
      <x:c r="G76" s="13" t="n">
        <x:v>19</x:v>
      </x:c>
      <x:c r="H76" s="13" t="n">
        <x:v>70</x:v>
      </x:c>
      <x:c r="I76" s="16" t="str">
        <x:v>보통</x:v>
      </x:c>
      <x:c r="J76" s="13" t="str">
        <x:v>총점이 80점 미만; 예상 키워드 매칭 약함</x:v>
      </x:c>
      <x:c r="K76" s="13" t="str">
        <x:v>09_광산안전기술기준_제10차개정_2024-12-19.txt,09_광산안전기술기준_제10차개정_2024-12-19.txt,09_광산안전기술기준_제10차개정_2024-12-19.txt,09_광산안전기술기준_제10차개정_2024-12-19.txt,09_광산안전기술기준_제10차개정_2024-12-19.txt</x:v>
      </x:c>
    </x:row>
    <x:row r="77" ht="58" customHeight="1">
      <x:c r="A77" s="13" t="str">
        <x:v>Q096</x:v>
      </x:c>
      <x:c r="B77" s="13" t="str">
        <x:v>위험성평가/작업허가/기록관리</x:v>
      </x:c>
      <x:c r="C77" s="13" t="str">
        <x:v>작업 전에 위험성평가 결과가 달라졌다면 관리자가 해야 할 조치는 무엇인가?</x:v>
      </x:c>
      <x:c r="D77" s="13" t="n">
        <x:v>18</x:v>
      </x:c>
      <x:c r="E77" s="13" t="n">
        <x:v>20</x:v>
      </x:c>
      <x:c r="F77" s="13" t="n">
        <x:v>19</x:v>
      </x:c>
      <x:c r="G77" s="13" t="n">
        <x:v>19</x:v>
      </x:c>
      <x:c r="H77" s="13" t="n">
        <x:v>76</x:v>
      </x:c>
      <x:c r="I77" s="16" t="str">
        <x:v>보통</x:v>
      </x:c>
      <x:c r="J77" s="13" t="str">
        <x:v>총점이 80점 미만</x:v>
      </x:c>
      <x:c r="K77" s="13" t="str">
        <x:v>11_안전보건관리체계_구축_가이드북.txt,13_2023_새로운_위험성평가_안내서.txt,03_산업안전보건법.txt,13_2023_새로운_위험성평가_안내서.txt,11_안전보건관리체계_구축_가이드북.txt</x:v>
      </x:c>
    </x:row>
    <x:row r="78" ht="58" customHeight="1">
      <x:c r="A78" s="13" t="str">
        <x:v>Q097</x:v>
      </x:c>
      <x:c r="B78" s="13" t="str">
        <x:v>사고보고/응급조치</x:v>
      </x:c>
      <x:c r="C78" s="13" t="str">
        <x:v>응급조치 후 사후 조치로 관리자가 확인해야 할 항목은 무엇인가?</x:v>
      </x:c>
      <x:c r="D78" s="13" t="n">
        <x:v>8</x:v>
      </x:c>
      <x:c r="E78" s="13" t="n">
        <x:v>16</x:v>
      </x:c>
      <x:c r="F78" s="13" t="n">
        <x:v>19</x:v>
      </x:c>
      <x:c r="G78" s="13" t="n">
        <x:v>19</x:v>
      </x:c>
      <x:c r="H78" s="13" t="n">
        <x:v>62</x:v>
      </x:c>
      <x:c r="I78" s="16" t="str">
        <x:v>보완 필요</x:v>
      </x:c>
      <x:c r="J78" s="13" t="str">
        <x:v>총점이 80점 미만; 예상 키워드 매칭 약함; 상위 근거 연관성 약함</x:v>
      </x:c>
      <x:c r="K78" s="13" t="str">
        <x:v>04_산업안전보건법_시행령.txt,11_안전보건관리체계_구축_가이드북.txt,11_안전보건관리체계_구축_가이드북.txt,04_산업안전보건법_시행령.txt,09_광산안전기술기준_제10차개정_2024-12-19.txt</x:v>
      </x:c>
    </x:row>
    <x:row r="79" ht="58" customHeight="1">
      <x:c r="A79" s="13" t="str">
        <x:v>Q098</x:v>
      </x:c>
      <x:c r="B79" s="13" t="str">
        <x:v>복합위험/중대재해 대응</x:v>
      </x:c>
      <x:c r="C79" s="13" t="str">
        <x:v>여러 위험요인으로 작업 재개가 불확실할 때 어떤 판단을 해야 하나?</x:v>
      </x:c>
      <x:c r="D79" s="13" t="n">
        <x:v>8</x:v>
      </x:c>
      <x:c r="E79" s="13" t="n">
        <x:v>16</x:v>
      </x:c>
      <x:c r="F79" s="13" t="n">
        <x:v>19</x:v>
      </x:c>
      <x:c r="G79" s="13" t="n">
        <x:v>19</x:v>
      </x:c>
      <x:c r="H79" s="13" t="n">
        <x:v>62</x:v>
      </x:c>
      <x:c r="I79" s="16" t="str">
        <x:v>보완 필요</x:v>
      </x:c>
      <x:c r="J79" s="13" t="str">
        <x:v>총점이 80점 미만; 예상 키워드 매칭 약함; 상위 근거 연관성 약함</x:v>
      </x:c>
      <x:c r="K79" s="13" t="str">
        <x:v>13_2023_새로운_위험성평가_안내서.txt,13_2023_새로운_위험성평가_안내서.txt,13_2023_새로운_위험성평가_안내서.txt,13_2023_새로운_위험성평가_안내서.txt,13_2023_새로운_위험성평가_안내서.txt</x:v>
      </x:c>
    </x:row>
    <x:row r="80" ht="58" customHeight="1">
      <x:c r="A80" s="13" t="str">
        <x:v>Q099</x:v>
      </x:c>
      <x:c r="B80" s="13" t="str">
        <x:v>전기안전</x:v>
      </x:c>
      <x:c r="C80" s="13" t="str">
        <x:v>전기 설비 작업 중 자격증이 없는 작업자가 참여한다면 관리자가 무엇을 해야 하나?</x:v>
      </x:c>
      <x:c r="D80" s="13" t="n">
        <x:v>18</x:v>
      </x:c>
      <x:c r="E80" s="13" t="n">
        <x:v>20</x:v>
      </x:c>
      <x:c r="F80" s="13" t="n">
        <x:v>19</x:v>
      </x:c>
      <x:c r="G80" s="13" t="n">
        <x:v>19</x:v>
      </x:c>
      <x:c r="H80" s="13" t="n">
        <x:v>76</x:v>
      </x:c>
      <x:c r="I80" s="16" t="str">
        <x:v>보통</x:v>
      </x:c>
      <x:c r="J80" s="13" t="str">
        <x:v>총점이 80점 미만</x:v>
      </x:c>
      <x:c r="K80" s="13" t="str">
        <x:v>03_산업안전보건법.txt,03_산업안전보건법.txt,04_산업안전보건법_시행령.txt,04_산업안전보건법_시행령.txt,05_산업안전보건법_시행규칙.txt</x:v>
      </x:c>
    </x:row>
    <x:row r="81" ht="58" customHeight="1">
      <x:c r="A81" s="13" t="str">
        <x:v>Q100</x:v>
      </x:c>
      <x:c r="B81" s="13" t="str">
        <x:v>복합위험/중대재해 대응</x:v>
      </x:c>
      <x:c r="C81" s="13" t="str">
        <x:v>중대재해 우려가 있는 상황에서 관리자가 작업자에게 무엇을 먼저 안내해야 하나?</x:v>
      </x:c>
      <x:c r="D81" s="13" t="n">
        <x:v>16</x:v>
      </x:c>
      <x:c r="E81" s="13" t="n">
        <x:v>20</x:v>
      </x:c>
      <x:c r="F81" s="13" t="n">
        <x:v>19</x:v>
      </x:c>
      <x:c r="G81" s="13" t="n">
        <x:v>19</x:v>
      </x:c>
      <x:c r="H81" s="13" t="n">
        <x:v>74</x:v>
      </x:c>
      <x:c r="I81" s="16" t="str">
        <x:v>보통</x:v>
      </x:c>
      <x:c r="J81" s="13" t="str">
        <x:v>총점이 80점 미만</x:v>
      </x:c>
      <x:c r="K81" s="13" t="str">
        <x:v>11_안전보건관리체계_구축_가이드북.txt,11_안전보건관리체계_구축_가이드북.txt,13_2023_새로운_위험성평가_안내서.txt,13_2023_새로운_위험성평가_안내서.txt,04_산업안전보건법_시행령.txt</x:v>
      </x:c>
    </x:row>
    <x:row r="82" ht="58" customHeight="1">
      <x:c r="A82" s="13" t="str">
        <x:v>Q101</x:v>
      </x:c>
      <x:c r="B82" s="13" t="str">
        <x:v>분진 관리</x:v>
      </x:c>
      <x:c r="C82" s="13" t="str">
        <x:v>천공 작업 전에 분진 발생을 줄이기 위해 살수와 집진 상태를 어떤 기준으로 확인해야 하나?</x:v>
      </x:c>
      <x:c r="D82" s="13" t="n">
        <x:v>12</x:v>
      </x:c>
      <x:c r="E82" s="13" t="n">
        <x:v>25</x:v>
      </x:c>
      <x:c r="F82" s="13" t="n">
        <x:v>25</x:v>
      </x:c>
      <x:c r="G82" s="13" t="n">
        <x:v>22</x:v>
      </x:c>
      <x:c r="H82" s="13" t="n">
        <x:v>84</x:v>
      </x:c>
      <x:c r="I82" s="16" t="str">
        <x:v>보통</x:v>
      </x:c>
      <x:c r="J82" s="13" t="str">
        <x:v>상위 근거 연관성 또는 키워드 매칭 보완 필요; 예상 키워드 1/7개 근거에서 확인; 근거 chunk 5개, 문서 3종 활용; 안전·법령 관련 핵심어 15개 반영; 현장 조치·확인 절차 관련 표현 10개 반영</x:v>
      </x:c>
      <x:c r="K82" s="13" t="str">
        <x:v>11_안전보건관리체계_구축_가이드북.txt,04_산업안전보건법_시행령.txt,05_산업안전보건법_시행규칙.txt,11_안전보건관리체계_구축_가이드북.txt,04_산업안전보건법_시행령.txt</x:v>
      </x:c>
    </x:row>
    <x:row r="83" ht="58" customHeight="1">
      <x:c r="A83" s="13" t="str">
        <x:v>Q102</x:v>
      </x:c>
      <x:c r="B83" s="13" t="str">
        <x:v>분진 관리</x:v>
      </x:c>
      <x:c r="C83" s="13" t="str">
        <x:v>굴진 작업 중 분진이 평소보다 많이 발생하면 관리자가 우선 확인하고 조치해야 할 사항은 무엇인가?</x:v>
      </x:c>
      <x:c r="D83" s="13" t="n">
        <x:v>11</x:v>
      </x:c>
      <x:c r="E83" s="13" t="n">
        <x:v>25</x:v>
      </x:c>
      <x:c r="F83" s="13" t="n">
        <x:v>25</x:v>
      </x:c>
      <x:c r="G83" s="13" t="n">
        <x:v>21</x:v>
      </x:c>
      <x:c r="H83" s="13" t="n">
        <x:v>82</x:v>
      </x:c>
      <x:c r="I83" s="16" t="str">
        <x:v>보통</x:v>
      </x:c>
      <x:c r="J83" s="13" t="str">
        <x:v>상위 근거 연관성 또는 키워드 매칭 보완 필요; 예상 키워드 0/8개 근거에서 확인; 근거 chunk 5개, 문서 4종 활용; 안전·법령 관련 핵심어 14개 반영; 현장 조치·확인 절차 관련 표현 9개 반영</x:v>
      </x:c>
      <x:c r="K83" s="13" t="str">
        <x:v>03_산업안전보건법.txt,10_광산안전업무_처리지침_2025-35_latest.txt,04_산업안전보건법_시행령.txt,04_산업안전보건법_시행령.txt,09_광산안전기술기준_제10차개정_2024-12-19.txt</x:v>
      </x:c>
    </x:row>
    <x:row r="84" ht="58" customHeight="1">
      <x:c r="A84" s="13" t="str">
        <x:v>Q103</x:v>
      </x:c>
      <x:c r="B84" s="13" t="str">
        <x:v>분진 관리</x:v>
      </x:c>
      <x:c r="C84" s="13" t="str">
        <x:v>파쇄 작업장에서 비산먼지가 주변 통로까지 퍼질 때 작업관리자는 어떤 통제조치를 해야 하나?</x:v>
      </x:c>
      <x:c r="D84" s="13" t="n">
        <x:v>11</x:v>
      </x:c>
      <x:c r="E84" s="13" t="n">
        <x:v>25</x:v>
      </x:c>
      <x:c r="F84" s="13" t="n">
        <x:v>24</x:v>
      </x:c>
      <x:c r="G84" s="13" t="n">
        <x:v>20</x:v>
      </x:c>
      <x:c r="H84" s="13" t="n">
        <x:v>80</x:v>
      </x:c>
      <x:c r="I84" s="16" t="str">
        <x:v>보통</x:v>
      </x:c>
      <x:c r="J84" s="13" t="str">
        <x:v>상위 근거 연관성 또는 키워드 매칭 보완 필요; 예상 키워드 0/8개 근거에서 확인; 근거 chunk 5개, 문서 4종 활용; 안전·법령 관련 핵심어 12개 반영; 현장 조치·확인 절차 관련 표현 8개 반영</x:v>
      </x:c>
      <x:c r="K84" s="13" t="str">
        <x:v>04_산업안전보건법_시행령.txt,05_산업안전보건법_시행규칙.txt,11_안전보건관리체계_구축_가이드북.txt,04_산업안전보건법_시행령.txt,03_산업안전보건법.txt</x:v>
      </x:c>
    </x:row>
    <x:row r="85" ht="58" customHeight="1">
      <x:c r="A85" s="13" t="str">
        <x:v>Q104</x:v>
      </x:c>
      <x:c r="B85" s="13" t="str">
        <x:v>분진 관리</x:v>
      </x:c>
      <x:c r="C85" s="13" t="str">
        <x:v>분진이 많이 쌓인 작업장 바닥을 청소하기 전에 관리자가 확인해야 할 안전조치는 무엇인가?</x:v>
      </x:c>
      <x:c r="D85" s="13" t="n">
        <x:v>11</x:v>
      </x:c>
      <x:c r="E85" s="13" t="n">
        <x:v>25</x:v>
      </x:c>
      <x:c r="F85" s="13" t="n">
        <x:v>25</x:v>
      </x:c>
      <x:c r="G85" s="13" t="n">
        <x:v>22</x:v>
      </x:c>
      <x:c r="H85" s="13" t="n">
        <x:v>83</x:v>
      </x:c>
      <x:c r="I85" s="16" t="str">
        <x:v>보통</x:v>
      </x:c>
      <x:c r="J85" s="13" t="str">
        <x:v>상위 근거 연관성 또는 키워드 매칭 보완 필요; 예상 키워드 0/8개 근거에서 확인; 근거 chunk 5개, 문서 4종 활용; 안전·법령 관련 핵심어 14개 반영; 현장 조치·확인 절차 관련 표현 10개 반영</x:v>
      </x:c>
      <x:c r="K85" s="13" t="str">
        <x:v>04_산업안전보건법_시행령.txt,04_산업안전보건법_시행령.txt,05_산업안전보건법_시행규칙.txt,11_안전보건관리체계_구축_가이드북.txt,10_광산안전업무_처리지침_2025-35_latest.txt</x:v>
      </x:c>
    </x:row>
    <x:row r="86" ht="58" customHeight="1">
      <x:c r="A86" s="13" t="str">
        <x:v>Q105</x:v>
      </x:c>
      <x:c r="B86" s="13" t="str">
        <x:v>분진 관리</x:v>
      </x:c>
      <x:c r="C86" s="13" t="str">
        <x:v>작업환경측정 결과 분진 관리가 필요하다고 판단되면 작업 전 회의에서 어떤 내용을 공유해야 하나?</x:v>
      </x:c>
      <x:c r="D86" s="13" t="n">
        <x:v>12</x:v>
      </x:c>
      <x:c r="E86" s="13" t="n">
        <x:v>25</x:v>
      </x:c>
      <x:c r="F86" s="13" t="n">
        <x:v>25</x:v>
      </x:c>
      <x:c r="G86" s="13" t="n">
        <x:v>21</x:v>
      </x:c>
      <x:c r="H86" s="13" t="n">
        <x:v>83</x:v>
      </x:c>
      <x:c r="I86" s="16" t="str">
        <x:v>보통</x:v>
      </x:c>
      <x:c r="J86" s="13" t="str">
        <x:v>상위 근거 연관성 또는 키워드 매칭 보완 필요; 예상 키워드 1/6개 근거에서 확인; 근거 chunk 5개, 문서 3종 활용; 안전·법령 관련 핵심어 13개 반영; 현장 조치·확인 절차 관련 표현 9개 반영</x:v>
      </x:c>
      <x:c r="K86" s="13" t="str">
        <x:v>05_산업안전보건법_시행규칙.txt,04_산업안전보건법_시행령.txt,11_안전보건관리체계_구축_가이드북.txt,04_산업안전보건법_시행령.txt,11_안전보건관리체계_구축_가이드북.txt</x:v>
      </x:c>
    </x:row>
    <x:row r="87" ht="58" customHeight="1">
      <x:c r="A87" s="13" t="str">
        <x:v>Q106</x:v>
      </x:c>
      <x:c r="B87" s="13" t="str">
        <x:v>보호구/PPE</x:v>
      </x:c>
      <x:c r="C87" s="13" t="str">
        <x:v>작업 시작 전 방진마스크를 지급할 때 관리자가 착용 적합성을 어떻게 확인해야 하나?</x:v>
      </x:c>
      <x:c r="D87" s="13" t="n">
        <x:v>12</x:v>
      </x:c>
      <x:c r="E87" s="13" t="n">
        <x:v>25</x:v>
      </x:c>
      <x:c r="F87" s="13" t="n">
        <x:v>25</x:v>
      </x:c>
      <x:c r="G87" s="13" t="n">
        <x:v>23</x:v>
      </x:c>
      <x:c r="H87" s="13" t="n">
        <x:v>85</x:v>
      </x:c>
      <x:c r="I87" s="16" t="str">
        <x:v>우수</x:v>
      </x:c>
      <x:c r="J87" s="13" t="str">
        <x:v>상위 근거 연관성 또는 키워드 매칭 보완 필요; 예상 키워드 2/7개 근거에서 확인; 근거 chunk 5개, 문서 3종 활용; 안전·법령 관련 핵심어 14개 반영; 현장 조치·확인 절차 관련 표현 11개 반영</x:v>
      </x:c>
      <x:c r="K87" s="13" t="str">
        <x:v>11_안전보건관리체계_구축_가이드북.txt,04_산업안전보건법_시행령.txt,11_안전보건관리체계_구축_가이드북.txt,04_산업안전보건법_시행령.txt,13_2023_새로운_위험성평가_안내서.txt</x:v>
      </x:c>
    </x:row>
    <x:row r="88" ht="58" customHeight="1">
      <x:c r="A88" s="13" t="str">
        <x:v>Q107</x:v>
      </x:c>
      <x:c r="B88" s="13" t="str">
        <x:v>보호구/PPE</x:v>
      </x:c>
      <x:c r="C88" s="13" t="str">
        <x:v>작업자가 안전모를 착용했지만 턱끈을 하지 않은 경우 관리자는 어떻게 조치해야 하나?</x:v>
      </x:c>
      <x:c r="D88" s="13" t="n">
        <x:v>12</x:v>
      </x:c>
      <x:c r="E88" s="13" t="n">
        <x:v>25</x:v>
      </x:c>
      <x:c r="F88" s="13" t="n">
        <x:v>25</x:v>
      </x:c>
      <x:c r="G88" s="13" t="n">
        <x:v>23</x:v>
      </x:c>
      <x:c r="H88" s="13" t="n">
        <x:v>85</x:v>
      </x:c>
      <x:c r="I88" s="16" t="str">
        <x:v>우수</x:v>
      </x:c>
      <x:c r="J88" s="13" t="str">
        <x:v>상위 근거 연관성 또는 키워드 매칭 보완 필요; 예상 키워드 1/7개 근거에서 확인; 근거 chunk 5개, 문서 4종 활용; 안전·법령 관련 핵심어 13개 반영; 현장 조치·확인 절차 관련 표현 11개 반영</x:v>
      </x:c>
      <x:c r="K88" s="13" t="str">
        <x:v>11_안전보건관리체계_구축_가이드북.txt,11_안전보건관리체계_구축_가이드북.txt,04_산업안전보건법_시행령.txt,13_2023_새로운_위험성평가_안내서.txt,05_산업안전보건법_시행규칙.txt</x:v>
      </x:c>
    </x:row>
    <x:row r="89" ht="58" customHeight="1">
      <x:c r="A89" s="13" t="str">
        <x:v>Q108</x:v>
      </x:c>
      <x:c r="B89" s="13" t="str">
        <x:v>보호구/PPE</x:v>
      </x:c>
      <x:c r="C89" s="13" t="str">
        <x:v>보호장갑이나 보안경이 파손된 상태로 작업하려는 작업자가 있을 때 관리자는 무엇을 확인해야 하나?</x:v>
      </x:c>
      <x:c r="D89" s="13" t="n">
        <x:v>12</x:v>
      </x:c>
      <x:c r="E89" s="13" t="n">
        <x:v>25</x:v>
      </x:c>
      <x:c r="F89" s="13" t="n">
        <x:v>25</x:v>
      </x:c>
      <x:c r="G89" s="13" t="n">
        <x:v>23</x:v>
      </x:c>
      <x:c r="H89" s="13" t="n">
        <x:v>85</x:v>
      </x:c>
      <x:c r="I89" s="16" t="str">
        <x:v>우수</x:v>
      </x:c>
      <x:c r="J89" s="13" t="str">
        <x:v>상위 근거 연관성 또는 키워드 매칭 보완 필요; 예상 키워드 1/8개 근거에서 확인; 근거 chunk 5개, 문서 4종 활용; 안전·법령 관련 핵심어 14개 반영; 현장 조치·확인 절차 관련 표현 11개 반영</x:v>
      </x:c>
      <x:c r="K89" s="13" t="str">
        <x:v>11_안전보건관리체계_구축_가이드북.txt,05_산업안전보건법_시행규칙.txt,11_안전보건관리체계_구축_가이드북.txt,04_산업안전보건법_시행령.txt,10_광산안전업무_처리지침_2025-35_latest.txt</x:v>
      </x:c>
    </x:row>
    <x:row r="90" ht="58" customHeight="1">
      <x:c r="A90" s="13" t="str">
        <x:v>Q109</x:v>
      </x:c>
      <x:c r="B90" s="13" t="str">
        <x:v>보호구/PPE</x:v>
      </x:c>
      <x:c r="C90" s="13" t="str">
        <x:v>유해가스 측정 작업 전에 작업자에게 필요한 보호구와 착용 상태를 어떻게 확인해야 하나?</x:v>
      </x:c>
      <x:c r="D90" s="13" t="n">
        <x:v>12</x:v>
      </x:c>
      <x:c r="E90" s="13" t="n">
        <x:v>25</x:v>
      </x:c>
      <x:c r="F90" s="13" t="n">
        <x:v>25</x:v>
      </x:c>
      <x:c r="G90" s="13" t="n">
        <x:v>24</x:v>
      </x:c>
      <x:c r="H90" s="13" t="n">
        <x:v>86</x:v>
      </x:c>
      <x:c r="I90" s="16" t="str">
        <x:v>우수</x:v>
      </x:c>
      <x:c r="J90" s="13" t="str">
        <x:v>상위 근거 연관성 또는 키워드 매칭 보완 필요; 예상 키워드 1/7개 근거에서 확인; 근거 chunk 5개, 문서 4종 활용; 안전·법령 관련 핵심어 14개 반영; 현장 조치·확인 절차 관련 표현 12개 반영</x:v>
      </x:c>
      <x:c r="K90" s="13" t="str">
        <x:v>04_산업안전보건법_시행령.txt,05_산업안전보건법_시행규칙.txt,11_안전보건관리체계_구축_가이드북.txt,11_안전보건관리체계_구축_가이드북.txt,03_산업안전보건법.txt</x:v>
      </x:c>
    </x:row>
    <x:row r="91" ht="58" customHeight="1">
      <x:c r="A91" s="13" t="str">
        <x:v>Q110</x:v>
      </x:c>
      <x:c r="B91" s="13" t="str">
        <x:v>보호구/PPE</x:v>
      </x:c>
      <x:c r="C91" s="13" t="str">
        <x:v>보호구를 지급했는데 작업자가 반복적으로 미착용하는 경우 관리자는 어떤 절차로 조치해야 하나?</x:v>
      </x:c>
      <x:c r="D91" s="13" t="n">
        <x:v>13</x:v>
      </x:c>
      <x:c r="E91" s="13" t="n">
        <x:v>25</x:v>
      </x:c>
      <x:c r="F91" s="13" t="n">
        <x:v>25</x:v>
      </x:c>
      <x:c r="G91" s="13" t="n">
        <x:v>24</x:v>
      </x:c>
      <x:c r="H91" s="13" t="n">
        <x:v>87</x:v>
      </x:c>
      <x:c r="I91" s="16" t="str">
        <x:v>우수</x:v>
      </x:c>
      <x:c r="J91" s="13" t="str">
        <x:v>상위 근거 연관성 또는 키워드 매칭 보완 필요; 예상 키워드 3/8개 근거에서 확인; 근거 chunk 5개, 문서 3종 활용; 안전·법령 관련 핵심어 13개 반영; 현장 조치·확인 절차 관련 표현 12개 반영</x:v>
      </x:c>
      <x:c r="K91" s="13" t="str">
        <x:v>05_산업안전보건법_시행규칙.txt,11_안전보건관리체계_구축_가이드북.txt,04_산업안전보건법_시행령.txt,11_안전보건관리체계_구축_가이드북.txt,04_산업안전보건법_시행령.txt</x:v>
      </x:c>
    </x:row>
  </x:sheetData>
  <x:conditionalFormatting sqref="D2:D91">
    <x:cfRule type="cellIs" dxfId="17" priority="1" operator="greaterThanOrEqual">
      <x:formula>21</x:formula>
    </x:cfRule>
    <x:cfRule type="cellIs" dxfId="18" priority="2" operator="between">
      <x:formula>18</x:formula>
      <x:formula>20</x:formula>
    </x:cfRule>
    <x:cfRule type="cellIs" dxfId="19" priority="3" operator="lessThan">
      <x:formula>18</x:formula>
    </x:cfRule>
  </x:conditionalFormatting>
  <x:conditionalFormatting sqref="E2:E91">
    <x:cfRule type="cellIs" dxfId="20" priority="4" operator="greaterThanOrEqual">
      <x:formula>21</x:formula>
    </x:cfRule>
    <x:cfRule type="cellIs" dxfId="21" priority="5" operator="between">
      <x:formula>18</x:formula>
      <x:formula>20</x:formula>
    </x:cfRule>
    <x:cfRule type="cellIs" dxfId="22" priority="6" operator="lessThan">
      <x:formula>18</x:formula>
    </x:cfRule>
  </x:conditionalFormatting>
  <x:conditionalFormatting sqref="F2:F91">
    <x:cfRule type="cellIs" dxfId="23" priority="7" operator="greaterThanOrEqual">
      <x:formula>21</x:formula>
    </x:cfRule>
    <x:cfRule type="cellIs" dxfId="24" priority="8" operator="between">
      <x:formula>18</x:formula>
      <x:formula>20</x:formula>
    </x:cfRule>
    <x:cfRule type="cellIs" dxfId="25" priority="9" operator="lessThan">
      <x:formula>18</x:formula>
    </x:cfRule>
  </x:conditionalFormatting>
  <x:conditionalFormatting sqref="G2:G91">
    <x:cfRule type="cellIs" dxfId="26" priority="10" operator="greaterThanOrEqual">
      <x:formula>21</x:formula>
    </x:cfRule>
    <x:cfRule type="cellIs" dxfId="27" priority="11" operator="between">
      <x:formula>18</x:formula>
      <x:formula>20</x:formula>
    </x:cfRule>
    <x:cfRule type="cellIs" dxfId="28" priority="12" operator="lessThan">
      <x:formula>18</x:formula>
    </x:cfRule>
  </x:conditionalFormatting>
  <x:conditionalFormatting sqref="H2:H91">
    <x:cfRule type="cellIs" dxfId="29" priority="13" operator="greaterThanOrEqual">
      <x:formula>85</x:formula>
    </x:cfRule>
    <x:cfRule type="cellIs" dxfId="30" priority="14" operator="between">
      <x:formula>70</x:formula>
      <x:formula>84</x:formula>
    </x:cfRule>
    <x:cfRule type="cellIs" dxfId="31" priority="15" operator="lessThan">
      <x:formula>70</x:formula>
    </x:cfRule>
  </x:conditionalFormatting>
  <x:conditionalFormatting sqref="J2:J91">
    <x:cfRule type="containsText" dxfId="32" priority="16" operator="containsText" text="Y"/>
    <x:cfRule type="containsText" dxfId="33" priority="17" operator="containsText" text="N"/>
  </x:conditionalFormatting>
  <x:pageMargins left="0.7" right="0.7" top="0.75" bottom="0.75" header="0.3" footer="0.3"/>
  <x:tableParts count="1">
    <x:tablePart xmlns:r="http://schemas.openxmlformats.org/officeDocument/2006/relationships" r:id="R001a49fc69684d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0" hidden="0" customWidth="1"/>
    <x:col min="3" max="3" width="12" hidden="0" customWidth="1"/>
    <x:col min="4" max="4" width="16" hidden="0" customWidth="1"/>
    <x:col min="5" max="5" width="16" hidden="0" customWidth="1"/>
    <x:col min="6" max="6" width="24" hidden="0" customWidth="1"/>
    <x:col min="7" max="7" width="12" hidden="0" customWidth="1"/>
    <x:col min="8" max="8" width="12" hidden="0" customWidth="1"/>
  </x:cols>
  <x:sheetData>
    <x:row r="1">
      <x:c r="A1" s="9" t="str">
        <x:v>category</x:v>
      </x:c>
      <x:c r="B1" s="9" t="str">
        <x:v>문항수</x:v>
      </x:c>
      <x:c r="C1" s="9" t="str">
        <x:v>평균총점</x:v>
      </x:c>
      <x:c r="D1" s="9" t="str">
        <x:v>검색적합성평균</x:v>
      </x:c>
      <x:c r="E1" s="9" t="str">
        <x:v>근거기반성평균</x:v>
      </x:c>
      <x:c r="F1" s="9" t="str">
        <x:v>안전법령판단정확성평균</x:v>
      </x:c>
      <x:c r="G1" s="9" t="str">
        <x:v>실무성평균</x:v>
      </x:c>
      <x:c r="H1" s="9" t="str">
        <x:v>검토필요Y</x:v>
      </x:c>
    </x:row>
    <x:row r="2">
      <x:c r="A2" s="13" t="str">
        <x:v>관리감독자 역할</x:v>
      </x:c>
      <x:c r="B2" s="13" t="n">
        <x:f>COUNTIF('2_전체평가_Q001_Q110'!$B$2:$B$111,A2)</x:f>
        <x:v>1</x:v>
      </x:c>
      <x:c r="C2" s="14" t="n">
        <x:f>AVERAGEIF('2_전체평가_Q001_Q110'!$B$2:$B$111,A2,'2_전체평가_Q001_Q110'!$H$2:$H$111)</x:f>
        <x:v>80</x:v>
      </x:c>
      <x:c r="D2" s="14" t="n">
        <x:f>AVERAGEIF('2_전체평가_Q001_Q110'!$B$2:$B$111,A2,'2_전체평가_Q001_Q110'!$D$2:$D$111)</x:f>
        <x:v>25</x:v>
      </x:c>
      <x:c r="E2" s="14" t="n">
        <x:f>AVERAGEIF('2_전체평가_Q001_Q110'!$B$2:$B$111,A2,'2_전체평가_Q001_Q110'!$E$2:$E$111)</x:f>
        <x:v>25</x:v>
      </x:c>
      <x:c r="F2" s="14" t="n">
        <x:f>AVERAGEIF('2_전체평가_Q001_Q110'!$B$2:$B$111,A2,'2_전체평가_Q001_Q110'!$F$2:$F$111)</x:f>
        <x:v>15</x:v>
      </x:c>
      <x:c r="G2" s="14" t="n">
        <x:f>AVERAGEIF('2_전체평가_Q001_Q110'!$B$2:$B$111,A2,'2_전체평가_Q001_Q110'!$G$2:$G$111)</x:f>
        <x:v>15</x:v>
      </x:c>
      <x:c r="H2" s="13" t="n">
        <x:f>COUNTIFS('2_전체평가_Q001_Q110'!$B$2:$B$111,A2,'2_전체평가_Q001_Q110'!$J$2:$J$111,"Y")</x:f>
        <x:v>0</x:v>
      </x:c>
    </x:row>
    <x:row r="3">
      <x:c r="A3" s="13" t="str">
        <x:v>광산안전기술기준</x:v>
      </x:c>
      <x:c r="B3" s="13" t="n">
        <x:f>COUNTIF('2_전체평가_Q001_Q110'!$B$2:$B$111,A3)</x:f>
        <x:v>1</x:v>
      </x:c>
      <x:c r="C3" s="14" t="n">
        <x:f>AVERAGEIF('2_전체평가_Q001_Q110'!$B$2:$B$111,A3,'2_전체평가_Q001_Q110'!$H$2:$H$111)</x:f>
        <x:v>78</x:v>
      </x:c>
      <x:c r="D3" s="14" t="n">
        <x:f>AVERAGEIF('2_전체평가_Q001_Q110'!$B$2:$B$111,A3,'2_전체평가_Q001_Q110'!$D$2:$D$111)</x:f>
        <x:v>25</x:v>
      </x:c>
      <x:c r="E3" s="14" t="n">
        <x:f>AVERAGEIF('2_전체평가_Q001_Q110'!$B$2:$B$111,A3,'2_전체평가_Q001_Q110'!$E$2:$E$111)</x:f>
        <x:v>23</x:v>
      </x:c>
      <x:c r="F3" s="14" t="n">
        <x:f>AVERAGEIF('2_전체평가_Q001_Q110'!$B$2:$B$111,A3,'2_전체평가_Q001_Q110'!$F$2:$F$111)</x:f>
        <x:v>15</x:v>
      </x:c>
      <x:c r="G3" s="14" t="n">
        <x:f>AVERAGEIF('2_전체평가_Q001_Q110'!$B$2:$B$111,A3,'2_전체평가_Q001_Q110'!$G$2:$G$111)</x:f>
        <x:v>15</x:v>
      </x:c>
      <x:c r="H3" s="13" t="n">
        <x:f>COUNTIFS('2_전체평가_Q001_Q110'!$B$2:$B$111,A3,'2_전체평가_Q001_Q110'!$J$2:$J$111,"Y")</x:f>
        <x:v>1</x:v>
      </x:c>
    </x:row>
    <x:row r="4">
      <x:c r="A4" s="13" t="str">
        <x:v>광산안전법</x:v>
      </x:c>
      <x:c r="B4" s="13" t="n">
        <x:f>COUNTIF('2_전체평가_Q001_Q110'!$B$2:$B$111,A4)</x:f>
        <x:v>1</x:v>
      </x:c>
      <x:c r="C4" s="14" t="n">
        <x:f>AVERAGEIF('2_전체평가_Q001_Q110'!$B$2:$B$111,A4,'2_전체평가_Q001_Q110'!$H$2:$H$111)</x:f>
        <x:v>73</x:v>
      </x:c>
      <x:c r="D4" s="14" t="n">
        <x:f>AVERAGEIF('2_전체평가_Q001_Q110'!$B$2:$B$111,A4,'2_전체평가_Q001_Q110'!$D$2:$D$111)</x:f>
        <x:v>20</x:v>
      </x:c>
      <x:c r="E4" s="14" t="n">
        <x:f>AVERAGEIF('2_전체평가_Q001_Q110'!$B$2:$B$111,A4,'2_전체평가_Q001_Q110'!$E$2:$E$111)</x:f>
        <x:v>23</x:v>
      </x:c>
      <x:c r="F4" s="14" t="n">
        <x:f>AVERAGEIF('2_전체평가_Q001_Q110'!$B$2:$B$111,A4,'2_전체평가_Q001_Q110'!$F$2:$F$111)</x:f>
        <x:v>15</x:v>
      </x:c>
      <x:c r="G4" s="14" t="n">
        <x:f>AVERAGEIF('2_전체평가_Q001_Q110'!$B$2:$B$111,A4,'2_전체평가_Q001_Q110'!$G$2:$G$111)</x:f>
        <x:v>15</x:v>
      </x:c>
      <x:c r="H4" s="13" t="n">
        <x:f>COUNTIFS('2_전체평가_Q001_Q110'!$B$2:$B$111,A4,'2_전체평가_Q001_Q110'!$J$2:$J$111,"Y")</x:f>
        <x:v>1</x:v>
      </x:c>
    </x:row>
    <x:row r="5">
      <x:c r="A5" s="13" t="str">
        <x:v>굴진/낙반/지보</x:v>
      </x:c>
      <x:c r="B5" s="13" t="n">
        <x:f>COUNTIF('2_전체평가_Q001_Q110'!$B$2:$B$111,A5)</x:f>
        <x:v>7</x:v>
      </x:c>
      <x:c r="C5" s="14" t="n">
        <x:f>AVERAGEIF('2_전체평가_Q001_Q110'!$B$2:$B$111,A5,'2_전체평가_Q001_Q110'!$H$2:$H$111)</x:f>
        <x:v>69</x:v>
      </x:c>
      <x:c r="D5" s="14" t="n">
        <x:f>AVERAGEIF('2_전체평가_Q001_Q110'!$B$2:$B$111,A5,'2_전체평가_Q001_Q110'!$D$2:$D$111)</x:f>
        <x:v>12.714285714285714</x:v>
      </x:c>
      <x:c r="E5" s="14" t="n">
        <x:f>AVERAGEIF('2_전체평가_Q001_Q110'!$B$2:$B$111,A5,'2_전체평가_Q001_Q110'!$E$2:$E$111)</x:f>
        <x:v>18.285714285714285</x:v>
      </x:c>
      <x:c r="F5" s="14" t="n">
        <x:f>AVERAGEIF('2_전체평가_Q001_Q110'!$B$2:$B$111,A5,'2_전체평가_Q001_Q110'!$F$2:$F$111)</x:f>
        <x:v>19</x:v>
      </x:c>
      <x:c r="G5" s="14" t="n">
        <x:f>AVERAGEIF('2_전체평가_Q001_Q110'!$B$2:$B$111,A5,'2_전체평가_Q001_Q110'!$G$2:$G$111)</x:f>
        <x:v>19</x:v>
      </x:c>
      <x:c r="H5" s="13" t="n">
        <x:f>COUNTIFS('2_전체평가_Q001_Q110'!$B$2:$B$111,A5,'2_전체평가_Q001_Q110'!$J$2:$J$111,"Y")</x:f>
        <x:v>7</x:v>
      </x:c>
    </x:row>
    <x:row r="6">
      <x:c r="A6" s="13" t="str">
        <x:v>낙반/중대재해</x:v>
      </x:c>
      <x:c r="B6" s="13" t="n">
        <x:f>COUNTIF('2_전체평가_Q001_Q110'!$B$2:$B$111,A6)</x:f>
        <x:v>1</x:v>
      </x:c>
      <x:c r="C6" s="14" t="n">
        <x:f>AVERAGEIF('2_전체평가_Q001_Q110'!$B$2:$B$111,A6,'2_전체평가_Q001_Q110'!$H$2:$H$111)</x:f>
        <x:v>98</x:v>
      </x:c>
      <x:c r="D6" s="14" t="n">
        <x:f>AVERAGEIF('2_전체평가_Q001_Q110'!$B$2:$B$111,A6,'2_전체평가_Q001_Q110'!$D$2:$D$111)</x:f>
        <x:v>25</x:v>
      </x:c>
      <x:c r="E6" s="14" t="n">
        <x:f>AVERAGEIF('2_전체평가_Q001_Q110'!$B$2:$B$111,A6,'2_전체평가_Q001_Q110'!$E$2:$E$111)</x:f>
        <x:v>23</x:v>
      </x:c>
      <x:c r="F6" s="14" t="n">
        <x:f>AVERAGEIF('2_전체평가_Q001_Q110'!$B$2:$B$111,A6,'2_전체평가_Q001_Q110'!$F$2:$F$111)</x:f>
        <x:v>25</x:v>
      </x:c>
      <x:c r="G6" s="14" t="n">
        <x:f>AVERAGEIF('2_전체평가_Q001_Q110'!$B$2:$B$111,A6,'2_전체평가_Q001_Q110'!$G$2:$G$111)</x:f>
        <x:v>25</x:v>
      </x:c>
      <x:c r="H6" s="13" t="n">
        <x:f>COUNTIFS('2_전체평가_Q001_Q110'!$B$2:$B$111,A6,'2_전체평가_Q001_Q110'!$J$2:$J$111,"Y")</x:f>
        <x:v>0</x:v>
      </x:c>
    </x:row>
    <x:row r="7">
      <x:c r="A7" s="13" t="str">
        <x:v>낙반/지보</x:v>
      </x:c>
      <x:c r="B7" s="13" t="n">
        <x:f>COUNTIF('2_전체평가_Q001_Q110'!$B$2:$B$111,A7)</x:f>
        <x:v>1</x:v>
      </x:c>
      <x:c r="C7" s="14" t="n">
        <x:f>AVERAGEIF('2_전체평가_Q001_Q110'!$B$2:$B$111,A7,'2_전체평가_Q001_Q110'!$H$2:$H$111)</x:f>
        <x:v>93</x:v>
      </x:c>
      <x:c r="D7" s="14" t="n">
        <x:f>AVERAGEIF('2_전체평가_Q001_Q110'!$B$2:$B$111,A7,'2_전체평가_Q001_Q110'!$D$2:$D$111)</x:f>
        <x:v>20</x:v>
      </x:c>
      <x:c r="E7" s="14" t="n">
        <x:f>AVERAGEIF('2_전체평가_Q001_Q110'!$B$2:$B$111,A7,'2_전체평가_Q001_Q110'!$E$2:$E$111)</x:f>
        <x:v>23</x:v>
      </x:c>
      <x:c r="F7" s="14" t="n">
        <x:f>AVERAGEIF('2_전체평가_Q001_Q110'!$B$2:$B$111,A7,'2_전체평가_Q001_Q110'!$F$2:$F$111)</x:f>
        <x:v>25</x:v>
      </x:c>
      <x:c r="G7" s="14" t="n">
        <x:f>AVERAGEIF('2_전체평가_Q001_Q110'!$B$2:$B$111,A7,'2_전체평가_Q001_Q110'!$G$2:$G$111)</x:f>
        <x:v>25</x:v>
      </x:c>
      <x:c r="H7" s="13" t="n">
        <x:f>COUNTIFS('2_전체평가_Q001_Q110'!$B$2:$B$111,A7,'2_전체평가_Q001_Q110'!$J$2:$J$111,"Y")</x:f>
        <x:v>0</x:v>
      </x:c>
    </x:row>
    <x:row r="8">
      <x:c r="A8" s="13" t="str">
        <x:v>발파</x:v>
      </x:c>
      <x:c r="B8" s="13" t="n">
        <x:f>COUNTIF('2_전체평가_Q001_Q110'!$B$2:$B$111,A8)</x:f>
        <x:v>1</x:v>
      </x:c>
      <x:c r="C8" s="14" t="n">
        <x:f>AVERAGEIF('2_전체평가_Q001_Q110'!$B$2:$B$111,A8,'2_전체평가_Q001_Q110'!$H$2:$H$111)</x:f>
        <x:v>90</x:v>
      </x:c>
      <x:c r="D8" s="14" t="n">
        <x:f>AVERAGEIF('2_전체평가_Q001_Q110'!$B$2:$B$111,A8,'2_전체평가_Q001_Q110'!$D$2:$D$111)</x:f>
        <x:v>25</x:v>
      </x:c>
      <x:c r="E8" s="14" t="n">
        <x:f>AVERAGEIF('2_전체평가_Q001_Q110'!$B$2:$B$111,A8,'2_전체평가_Q001_Q110'!$E$2:$E$111)</x:f>
        <x:v>25</x:v>
      </x:c>
      <x:c r="F8" s="14" t="n">
        <x:f>AVERAGEIF('2_전체평가_Q001_Q110'!$B$2:$B$111,A8,'2_전체평가_Q001_Q110'!$F$2:$F$111)</x:f>
        <x:v>20</x:v>
      </x:c>
      <x:c r="G8" s="14" t="n">
        <x:f>AVERAGEIF('2_전체평가_Q001_Q110'!$B$2:$B$111,A8,'2_전체평가_Q001_Q110'!$G$2:$G$111)</x:f>
        <x:v>20</x:v>
      </x:c>
      <x:c r="H8" s="13" t="n">
        <x:f>COUNTIFS('2_전체평가_Q001_Q110'!$B$2:$B$111,A8,'2_전체평가_Q001_Q110'!$J$2:$J$111,"Y")</x:f>
        <x:v>0</x:v>
      </x:c>
    </x:row>
    <x:row r="9">
      <x:c r="A9" s="13" t="str">
        <x:v>발파/불발</x:v>
      </x:c>
      <x:c r="B9" s="13" t="n">
        <x:f>COUNTIF('2_전체평가_Q001_Q110'!$B$2:$B$111,A9)</x:f>
        <x:v>7</x:v>
      </x:c>
      <x:c r="C9" s="14" t="n">
        <x:f>AVERAGEIF('2_전체평가_Q001_Q110'!$B$2:$B$111,A9,'2_전체평가_Q001_Q110'!$H$2:$H$111)</x:f>
        <x:v>68.85714285714286</x:v>
      </x:c>
      <x:c r="D9" s="14" t="n">
        <x:f>AVERAGEIF('2_전체평가_Q001_Q110'!$B$2:$B$111,A9,'2_전체평가_Q001_Q110'!$D$2:$D$111)</x:f>
        <x:v>12</x:v>
      </x:c>
      <x:c r="E9" s="14" t="n">
        <x:f>AVERAGEIF('2_전체평가_Q001_Q110'!$B$2:$B$111,A9,'2_전체평가_Q001_Q110'!$E$2:$E$111)</x:f>
        <x:v>17.857142857142858</x:v>
      </x:c>
      <x:c r="F9" s="14" t="n">
        <x:f>AVERAGEIF('2_전체평가_Q001_Q110'!$B$2:$B$111,A9,'2_전체평가_Q001_Q110'!$F$2:$F$111)</x:f>
        <x:v>19.857142857142858</x:v>
      </x:c>
      <x:c r="G9" s="14" t="n">
        <x:f>AVERAGEIF('2_전체평가_Q001_Q110'!$B$2:$B$111,A9,'2_전체평가_Q001_Q110'!$G$2:$G$111)</x:f>
        <x:v>19.142857142857142</x:v>
      </x:c>
      <x:c r="H9" s="13" t="n">
        <x:f>COUNTIFS('2_전체평가_Q001_Q110'!$B$2:$B$111,A9,'2_전체평가_Q001_Q110'!$J$2:$J$111,"Y")</x:f>
        <x:v>6</x:v>
      </x:c>
    </x:row>
    <x:row r="10">
      <x:c r="A10" s="13" t="str">
        <x:v>보호구</x:v>
      </x:c>
      <x:c r="B10" s="13" t="n">
        <x:f>COUNTIF('2_전체평가_Q001_Q110'!$B$2:$B$111,A10)</x:f>
        <x:v>1</x:v>
      </x:c>
      <x:c r="C10" s="14" t="n">
        <x:f>AVERAGEIF('2_전체평가_Q001_Q110'!$B$2:$B$111,A10,'2_전체평가_Q001_Q110'!$H$2:$H$111)</x:f>
        <x:v>65</x:v>
      </x:c>
      <x:c r="D10" s="14" t="n">
        <x:f>AVERAGEIF('2_전체평가_Q001_Q110'!$B$2:$B$111,A10,'2_전체평가_Q001_Q110'!$D$2:$D$111)</x:f>
        <x:v>15</x:v>
      </x:c>
      <x:c r="E10" s="14" t="n">
        <x:f>AVERAGEIF('2_전체평가_Q001_Q110'!$B$2:$B$111,A10,'2_전체평가_Q001_Q110'!$E$2:$E$111)</x:f>
        <x:v>20</x:v>
      </x:c>
      <x:c r="F10" s="14" t="n">
        <x:f>AVERAGEIF('2_전체평가_Q001_Q110'!$B$2:$B$111,A10,'2_전체평가_Q001_Q110'!$F$2:$F$111)</x:f>
        <x:v>15</x:v>
      </x:c>
      <x:c r="G10" s="14" t="n">
        <x:f>AVERAGEIF('2_전체평가_Q001_Q110'!$B$2:$B$111,A10,'2_전체평가_Q001_Q110'!$G$2:$G$111)</x:f>
        <x:v>15</x:v>
      </x:c>
      <x:c r="H10" s="13" t="n">
        <x:f>COUNTIFS('2_전체평가_Q001_Q110'!$B$2:$B$111,A10,'2_전체평가_Q001_Q110'!$J$2:$J$111,"Y")</x:f>
        <x:v>1</x:v>
      </x:c>
    </x:row>
    <x:row r="11">
      <x:c r="A11" s="13" t="str">
        <x:v>보호구/호흡보호</x:v>
      </x:c>
      <x:c r="B11" s="13" t="n">
        <x:f>COUNTIF('2_전체평가_Q001_Q110'!$B$2:$B$111,A11)</x:f>
        <x:v>1</x:v>
      </x:c>
      <x:c r="C11" s="14" t="n">
        <x:f>AVERAGEIF('2_전체평가_Q001_Q110'!$B$2:$B$111,A11,'2_전체평가_Q001_Q110'!$H$2:$H$111)</x:f>
        <x:v>55</x:v>
      </x:c>
      <x:c r="D11" s="14" t="n">
        <x:f>AVERAGEIF('2_전체평가_Q001_Q110'!$B$2:$B$111,A11,'2_전체평가_Q001_Q110'!$D$2:$D$111)</x:f>
        <x:v>15</x:v>
      </x:c>
      <x:c r="E11" s="14" t="n">
        <x:f>AVERAGEIF('2_전체평가_Q001_Q110'!$B$2:$B$111,A11,'2_전체평가_Q001_Q110'!$E$2:$E$111)</x:f>
        <x:v>20</x:v>
      </x:c>
      <x:c r="F11" s="14" t="n">
        <x:f>AVERAGEIF('2_전체평가_Q001_Q110'!$B$2:$B$111,A11,'2_전체평가_Q001_Q110'!$F$2:$F$111)</x:f>
        <x:v>10</x:v>
      </x:c>
      <x:c r="G11" s="14" t="n">
        <x:f>AVERAGEIF('2_전체평가_Q001_Q110'!$B$2:$B$111,A11,'2_전체평가_Q001_Q110'!$G$2:$G$111)</x:f>
        <x:v>10</x:v>
      </x:c>
      <x:c r="H11" s="13" t="n">
        <x:f>COUNTIFS('2_전체평가_Q001_Q110'!$B$2:$B$111,A11,'2_전체평가_Q001_Q110'!$J$2:$J$111,"Y")</x:f>
        <x:v>1</x:v>
      </x:c>
    </x:row>
    <x:row r="12">
      <x:c r="A12" s="13" t="str">
        <x:v>보호구/PPE</x:v>
      </x:c>
      <x:c r="B12" s="13" t="n">
        <x:f>COUNTIF('2_전체평가_Q001_Q110'!$B$2:$B$111,A12)</x:f>
        <x:v>13</x:v>
      </x:c>
      <x:c r="C12" s="14" t="n">
        <x:f>AVERAGEIF('2_전체평가_Q001_Q110'!$B$2:$B$111,A12,'2_전체평가_Q001_Q110'!$H$2:$H$111)</x:f>
        <x:v>72.6923076923077</x:v>
      </x:c>
      <x:c r="D12" s="14" t="n">
        <x:f>AVERAGEIF('2_전체평가_Q001_Q110'!$B$2:$B$111,A12,'2_전체평가_Q001_Q110'!$D$2:$D$111)</x:f>
        <x:v>11.23076923076923</x:v>
      </x:c>
      <x:c r="E12" s="14" t="n">
        <x:f>AVERAGEIF('2_전체평가_Q001_Q110'!$B$2:$B$111,A12,'2_전체평가_Q001_Q110'!$E$2:$E$111)</x:f>
        <x:v>19.46153846153846</x:v>
      </x:c>
      <x:c r="F12" s="14" t="n">
        <x:f>AVERAGEIF('2_전체평가_Q001_Q110'!$B$2:$B$111,A12,'2_전체평가_Q001_Q110'!$F$2:$F$111)</x:f>
        <x:v>21.307692307692307</x:v>
      </x:c>
      <x:c r="G12" s="14" t="n">
        <x:f>AVERAGEIF('2_전체평가_Q001_Q110'!$B$2:$B$111,A12,'2_전체평가_Q001_Q110'!$G$2:$G$111)</x:f>
        <x:v>20.692307692307693</x:v>
      </x:c>
      <x:c r="H12" s="13" t="n">
        <x:f>COUNTIFS('2_전체평가_Q001_Q110'!$B$2:$B$111,A12,'2_전체평가_Q001_Q110'!$J$2:$J$111,"Y")</x:f>
        <x:v>13</x:v>
      </x:c>
    </x:row>
    <x:row r="13">
      <x:c r="A13" s="13" t="str">
        <x:v>복합위험/중대재해 대응</x:v>
      </x:c>
      <x:c r="B13" s="13" t="n">
        <x:f>COUNTIF('2_전체평가_Q001_Q110'!$B$2:$B$111,A13)</x:f>
        <x:v>7</x:v>
      </x:c>
      <x:c r="C13" s="14" t="n">
        <x:f>AVERAGEIF('2_전체평가_Q001_Q110'!$B$2:$B$111,A13,'2_전체평가_Q001_Q110'!$H$2:$H$111)</x:f>
        <x:v>69.28571428571429</x:v>
      </x:c>
      <x:c r="D13" s="14" t="n">
        <x:f>AVERAGEIF('2_전체평가_Q001_Q110'!$B$2:$B$111,A13,'2_전체평가_Q001_Q110'!$D$2:$D$111)</x:f>
        <x:v>14.142857142857142</x:v>
      </x:c>
      <x:c r="E13" s="14" t="n">
        <x:f>AVERAGEIF('2_전체평가_Q001_Q110'!$B$2:$B$111,A13,'2_전체평가_Q001_Q110'!$E$2:$E$111)</x:f>
        <x:v>17.142857142857142</x:v>
      </x:c>
      <x:c r="F13" s="14" t="n">
        <x:f>AVERAGEIF('2_전체평가_Q001_Q110'!$B$2:$B$111,A13,'2_전체평가_Q001_Q110'!$F$2:$F$111)</x:f>
        <x:v>19</x:v>
      </x:c>
      <x:c r="G13" s="14" t="n">
        <x:f>AVERAGEIF('2_전체평가_Q001_Q110'!$B$2:$B$111,A13,'2_전체평가_Q001_Q110'!$G$2:$G$111)</x:f>
        <x:v>19</x:v>
      </x:c>
      <x:c r="H13" s="13" t="n">
        <x:f>COUNTIFS('2_전체평가_Q001_Q110'!$B$2:$B$111,A13,'2_전체평가_Q001_Q110'!$J$2:$J$111,"Y")</x:f>
        <x:v>7</x:v>
      </x:c>
    </x:row>
    <x:row r="14">
      <x:c r="A14" s="13" t="str">
        <x:v>분진 관리</x:v>
      </x:c>
      <x:c r="B14" s="13" t="n">
        <x:f>COUNTIF('2_전체평가_Q001_Q110'!$B$2:$B$111,A14)</x:f>
        <x:v>5</x:v>
      </x:c>
      <x:c r="C14" s="14" t="n">
        <x:f>AVERAGEIF('2_전체평가_Q001_Q110'!$B$2:$B$111,A14,'2_전체평가_Q001_Q110'!$H$2:$H$111)</x:f>
        <x:v>82.4</x:v>
      </x:c>
      <x:c r="D14" s="14" t="n">
        <x:f>AVERAGEIF('2_전체평가_Q001_Q110'!$B$2:$B$111,A14,'2_전체평가_Q001_Q110'!$D$2:$D$111)</x:f>
        <x:v>11.4</x:v>
      </x:c>
      <x:c r="E14" s="14" t="n">
        <x:f>AVERAGEIF('2_전체평가_Q001_Q110'!$B$2:$B$111,A14,'2_전체평가_Q001_Q110'!$E$2:$E$111)</x:f>
        <x:v>25</x:v>
      </x:c>
      <x:c r="F14" s="14" t="n">
        <x:f>AVERAGEIF('2_전체평가_Q001_Q110'!$B$2:$B$111,A14,'2_전체평가_Q001_Q110'!$F$2:$F$111)</x:f>
        <x:v>24.8</x:v>
      </x:c>
      <x:c r="G14" s="14" t="n">
        <x:f>AVERAGEIF('2_전체평가_Q001_Q110'!$B$2:$B$111,A14,'2_전체평가_Q001_Q110'!$G$2:$G$111)</x:f>
        <x:v>21.2</x:v>
      </x:c>
      <x:c r="H14" s="13" t="n">
        <x:f>COUNTIFS('2_전체평가_Q001_Q110'!$B$2:$B$111,A14,'2_전체평가_Q001_Q110'!$J$2:$J$111,"Y")</x:f>
        <x:v>5</x:v>
      </x:c>
    </x:row>
    <x:row r="15">
      <x:c r="A15" s="13" t="str">
        <x:v>분진/건강장해</x:v>
      </x:c>
      <x:c r="B15" s="13" t="n">
        <x:f>COUNTIF('2_전체평가_Q001_Q110'!$B$2:$B$111,A15)</x:f>
        <x:v>1</x:v>
      </x:c>
      <x:c r="C15" s="14" t="n">
        <x:f>AVERAGEIF('2_전체평가_Q001_Q110'!$B$2:$B$111,A15,'2_전체평가_Q001_Q110'!$H$2:$H$111)</x:f>
        <x:v>60</x:v>
      </x:c>
      <x:c r="D15" s="14" t="n">
        <x:f>AVERAGEIF('2_전체평가_Q001_Q110'!$B$2:$B$111,A15,'2_전체평가_Q001_Q110'!$D$2:$D$111)</x:f>
        <x:v>20</x:v>
      </x:c>
      <x:c r="E15" s="14" t="n">
        <x:f>AVERAGEIF('2_전체평가_Q001_Q110'!$B$2:$B$111,A15,'2_전체평가_Q001_Q110'!$E$2:$E$111)</x:f>
        <x:v>20</x:v>
      </x:c>
      <x:c r="F15" s="14" t="n">
        <x:f>AVERAGEIF('2_전체평가_Q001_Q110'!$B$2:$B$111,A15,'2_전체평가_Q001_Q110'!$F$2:$F$111)</x:f>
        <x:v>10</x:v>
      </x:c>
      <x:c r="G15" s="14" t="n">
        <x:f>AVERAGEIF('2_전체평가_Q001_Q110'!$B$2:$B$111,A15,'2_전체평가_Q001_Q110'!$G$2:$G$111)</x:f>
        <x:v>10</x:v>
      </x:c>
      <x:c r="H15" s="13" t="n">
        <x:f>COUNTIFS('2_전체평가_Q001_Q110'!$B$2:$B$111,A15,'2_전체평가_Q001_Q110'!$J$2:$J$111,"Y")</x:f>
        <x:v>1</x:v>
      </x:c>
    </x:row>
    <x:row r="16">
      <x:c r="A16" s="13" t="str">
        <x:v>비상대응</x:v>
      </x:c>
      <x:c r="B16" s="13" t="n">
        <x:f>COUNTIF('2_전체평가_Q001_Q110'!$B$2:$B$111,A16)</x:f>
        <x:v>1</x:v>
      </x:c>
      <x:c r="C16" s="14" t="n">
        <x:f>AVERAGEIF('2_전체평가_Q001_Q110'!$B$2:$B$111,A16,'2_전체평가_Q001_Q110'!$H$2:$H$111)</x:f>
        <x:v>83</x:v>
      </x:c>
      <x:c r="D16" s="14" t="n">
        <x:f>AVERAGEIF('2_전체평가_Q001_Q110'!$B$2:$B$111,A16,'2_전체평가_Q001_Q110'!$D$2:$D$111)</x:f>
        <x:v>20</x:v>
      </x:c>
      <x:c r="E16" s="14" t="n">
        <x:f>AVERAGEIF('2_전체평가_Q001_Q110'!$B$2:$B$111,A16,'2_전체평가_Q001_Q110'!$E$2:$E$111)</x:f>
        <x:v>23</x:v>
      </x:c>
      <x:c r="F16" s="14" t="n">
        <x:f>AVERAGEIF('2_전체평가_Q001_Q110'!$B$2:$B$111,A16,'2_전체평가_Q001_Q110'!$F$2:$F$111)</x:f>
        <x:v>20</x:v>
      </x:c>
      <x:c r="G16" s="14" t="n">
        <x:f>AVERAGEIF('2_전체평가_Q001_Q110'!$B$2:$B$111,A16,'2_전체평가_Q001_Q110'!$G$2:$G$111)</x:f>
        <x:v>20</x:v>
      </x:c>
      <x:c r="H16" s="13" t="n">
        <x:f>COUNTIFS('2_전체평가_Q001_Q110'!$B$2:$B$111,A16,'2_전체평가_Q001_Q110'!$J$2:$J$111,"Y")</x:f>
        <x:v>0</x:v>
      </x:c>
    </x:row>
    <x:row r="17">
      <x:c r="A17" s="13" t="str">
        <x:v>사고보고</x:v>
      </x:c>
      <x:c r="B17" s="13" t="n">
        <x:f>COUNTIF('2_전체평가_Q001_Q110'!$B$2:$B$111,A17)</x:f>
        <x:v>1</x:v>
      </x:c>
      <x:c r="C17" s="14" t="n">
        <x:f>AVERAGEIF('2_전체평가_Q001_Q110'!$B$2:$B$111,A17,'2_전체평가_Q001_Q110'!$H$2:$H$111)</x:f>
        <x:v>55</x:v>
      </x:c>
      <x:c r="D17" s="14" t="n">
        <x:f>AVERAGEIF('2_전체평가_Q001_Q110'!$B$2:$B$111,A17,'2_전체평가_Q001_Q110'!$D$2:$D$111)</x:f>
        <x:v>15</x:v>
      </x:c>
      <x:c r="E17" s="14" t="n">
        <x:f>AVERAGEIF('2_전체평가_Q001_Q110'!$B$2:$B$111,A17,'2_전체평가_Q001_Q110'!$E$2:$E$111)</x:f>
        <x:v>20</x:v>
      </x:c>
      <x:c r="F17" s="14" t="n">
        <x:f>AVERAGEIF('2_전체평가_Q001_Q110'!$B$2:$B$111,A17,'2_전체평가_Q001_Q110'!$F$2:$F$111)</x:f>
        <x:v>10</x:v>
      </x:c>
      <x:c r="G17" s="14" t="n">
        <x:f>AVERAGEIF('2_전체평가_Q001_Q110'!$B$2:$B$111,A17,'2_전체평가_Q001_Q110'!$G$2:$G$111)</x:f>
        <x:v>10</x:v>
      </x:c>
      <x:c r="H17" s="13" t="n">
        <x:f>COUNTIFS('2_전체평가_Q001_Q110'!$B$2:$B$111,A17,'2_전체평가_Q001_Q110'!$J$2:$J$111,"Y")</x:f>
        <x:v>1</x:v>
      </x:c>
    </x:row>
    <x:row r="18">
      <x:c r="A18" s="13" t="str">
        <x:v>사고보고/응급조치</x:v>
      </x:c>
      <x:c r="B18" s="13" t="n">
        <x:f>COUNTIF('2_전체평가_Q001_Q110'!$B$2:$B$111,A18)</x:f>
        <x:v>6</x:v>
      </x:c>
      <x:c r="C18" s="14" t="n">
        <x:f>AVERAGEIF('2_전체평가_Q001_Q110'!$B$2:$B$111,A18,'2_전체평가_Q001_Q110'!$H$2:$H$111)</x:f>
        <x:v>65.5</x:v>
      </x:c>
      <x:c r="D18" s="14" t="n">
        <x:f>AVERAGEIF('2_전체평가_Q001_Q110'!$B$2:$B$111,A18,'2_전체평가_Q001_Q110'!$D$2:$D$111)</x:f>
        <x:v>11.5</x:v>
      </x:c>
      <x:c r="E18" s="14" t="n">
        <x:f>AVERAGEIF('2_전체평가_Q001_Q110'!$B$2:$B$111,A18,'2_전체평가_Q001_Q110'!$E$2:$E$111)</x:f>
        <x:v>16</x:v>
      </x:c>
      <x:c r="F18" s="14" t="n">
        <x:f>AVERAGEIF('2_전체평가_Q001_Q110'!$B$2:$B$111,A18,'2_전체평가_Q001_Q110'!$F$2:$F$111)</x:f>
        <x:v>19</x:v>
      </x:c>
      <x:c r="G18" s="14" t="n">
        <x:f>AVERAGEIF('2_전체평가_Q001_Q110'!$B$2:$B$111,A18,'2_전체평가_Q001_Q110'!$G$2:$G$111)</x:f>
        <x:v>19</x:v>
      </x:c>
      <x:c r="H18" s="13" t="n">
        <x:f>COUNTIFS('2_전체평가_Q001_Q110'!$B$2:$B$111,A18,'2_전체평가_Q001_Q110'!$J$2:$J$111,"Y")</x:f>
        <x:v>6</x:v>
      </x:c>
    </x:row>
    <x:row r="19">
      <x:c r="A19" s="13" t="str">
        <x:v>사고보고/중대재해</x:v>
      </x:c>
      <x:c r="B19" s="13" t="n">
        <x:f>COUNTIF('2_전체평가_Q001_Q110'!$B$2:$B$111,A19)</x:f>
        <x:v>1</x:v>
      </x:c>
      <x:c r="C19" s="14" t="n">
        <x:f>AVERAGEIF('2_전체평가_Q001_Q110'!$B$2:$B$111,A19,'2_전체평가_Q001_Q110'!$H$2:$H$111)</x:f>
        <x:v>85</x:v>
      </x:c>
      <x:c r="D19" s="14" t="n">
        <x:f>AVERAGEIF('2_전체평가_Q001_Q110'!$B$2:$B$111,A19,'2_전체평가_Q001_Q110'!$D$2:$D$111)</x:f>
        <x:v>15</x:v>
      </x:c>
      <x:c r="E19" s="14" t="n">
        <x:f>AVERAGEIF('2_전체평가_Q001_Q110'!$B$2:$B$111,A19,'2_전체평가_Q001_Q110'!$E$2:$E$111)</x:f>
        <x:v>20</x:v>
      </x:c>
      <x:c r="F19" s="14" t="n">
        <x:f>AVERAGEIF('2_전체평가_Q001_Q110'!$B$2:$B$111,A19,'2_전체평가_Q001_Q110'!$F$2:$F$111)</x:f>
        <x:v>25</x:v>
      </x:c>
      <x:c r="G19" s="14" t="n">
        <x:f>AVERAGEIF('2_전체평가_Q001_Q110'!$B$2:$B$111,A19,'2_전체평가_Q001_Q110'!$G$2:$G$111)</x:f>
        <x:v>25</x:v>
      </x:c>
      <x:c r="H19" s="13" t="n">
        <x:f>COUNTIFS('2_전체평가_Q001_Q110'!$B$2:$B$111,A19,'2_전체평가_Q001_Q110'!$J$2:$J$111,"Y")</x:f>
        <x:v>0</x:v>
      </x:c>
    </x:row>
    <x:row r="20">
      <x:c r="A20" s="13" t="str">
        <x:v>안전교육</x:v>
      </x:c>
      <x:c r="B20" s="13" t="n">
        <x:f>COUNTIF('2_전체평가_Q001_Q110'!$B$2:$B$111,A20)</x:f>
        <x:v>1</x:v>
      </x:c>
      <x:c r="C20" s="14" t="n">
        <x:f>AVERAGEIF('2_전체평가_Q001_Q110'!$B$2:$B$111,A20,'2_전체평가_Q001_Q110'!$H$2:$H$111)</x:f>
        <x:v>90</x:v>
      </x:c>
      <x:c r="D20" s="14" t="n">
        <x:f>AVERAGEIF('2_전체평가_Q001_Q110'!$B$2:$B$111,A20,'2_전체평가_Q001_Q110'!$D$2:$D$111)</x:f>
        <x:v>25</x:v>
      </x:c>
      <x:c r="E20" s="14" t="n">
        <x:f>AVERAGEIF('2_전체평가_Q001_Q110'!$B$2:$B$111,A20,'2_전체평가_Q001_Q110'!$E$2:$E$111)</x:f>
        <x:v>25</x:v>
      </x:c>
      <x:c r="F20" s="14" t="n">
        <x:f>AVERAGEIF('2_전체평가_Q001_Q110'!$B$2:$B$111,A20,'2_전체평가_Q001_Q110'!$F$2:$F$111)</x:f>
        <x:v>20</x:v>
      </x:c>
      <x:c r="G20" s="14" t="n">
        <x:f>AVERAGEIF('2_전체평가_Q001_Q110'!$B$2:$B$111,A20,'2_전체평가_Q001_Q110'!$G$2:$G$111)</x:f>
        <x:v>20</x:v>
      </x:c>
      <x:c r="H20" s="13" t="n">
        <x:f>COUNTIFS('2_전체평가_Q001_Q110'!$B$2:$B$111,A20,'2_전체평가_Q001_Q110'!$J$2:$J$111,"Y")</x:f>
        <x:v>0</x:v>
      </x:c>
    </x:row>
    <x:row r="21">
      <x:c r="A21" s="13" t="str">
        <x:v>안전교육/특별작업</x:v>
      </x:c>
      <x:c r="B21" s="13" t="n">
        <x:f>COUNTIF('2_전체평가_Q001_Q110'!$B$2:$B$111,A21)</x:f>
        <x:v>1</x:v>
      </x:c>
      <x:c r="C21" s="14" t="n">
        <x:f>AVERAGEIF('2_전체평가_Q001_Q110'!$B$2:$B$111,A21,'2_전체평가_Q001_Q110'!$H$2:$H$111)</x:f>
        <x:v>90</x:v>
      </x:c>
      <x:c r="D21" s="14" t="n">
        <x:f>AVERAGEIF('2_전체평가_Q001_Q110'!$B$2:$B$111,A21,'2_전체평가_Q001_Q110'!$D$2:$D$111)</x:f>
        <x:v>25</x:v>
      </x:c>
      <x:c r="E21" s="14" t="n">
        <x:f>AVERAGEIF('2_전체평가_Q001_Q110'!$B$2:$B$111,A21,'2_전체평가_Q001_Q110'!$E$2:$E$111)</x:f>
        <x:v>25</x:v>
      </x:c>
      <x:c r="F21" s="14" t="n">
        <x:f>AVERAGEIF('2_전체평가_Q001_Q110'!$B$2:$B$111,A21,'2_전체평가_Q001_Q110'!$F$2:$F$111)</x:f>
        <x:v>20</x:v>
      </x:c>
      <x:c r="G21" s="14" t="n">
        <x:f>AVERAGEIF('2_전체평가_Q001_Q110'!$B$2:$B$111,A21,'2_전체평가_Q001_Q110'!$G$2:$G$111)</x:f>
        <x:v>20</x:v>
      </x:c>
      <x:c r="H21" s="13" t="n">
        <x:f>COUNTIFS('2_전체평가_Q001_Q110'!$B$2:$B$111,A21,'2_전체평가_Q001_Q110'!$J$2:$J$111,"Y")</x:f>
        <x:v>0</x:v>
      </x:c>
    </x:row>
    <x:row r="22">
      <x:c r="A22" s="13" t="str">
        <x:v>운반차량</x:v>
      </x:c>
      <x:c r="B22" s="13" t="n">
        <x:f>COUNTIF('2_전체평가_Q001_Q110'!$B$2:$B$111,A22)</x:f>
        <x:v>1</x:v>
      </x:c>
      <x:c r="C22" s="14" t="n">
        <x:f>AVERAGEIF('2_전체평가_Q001_Q110'!$B$2:$B$111,A22,'2_전체평가_Q001_Q110'!$H$2:$H$111)</x:f>
        <x:v>90</x:v>
      </x:c>
      <x:c r="D22" s="14" t="n">
        <x:f>AVERAGEIF('2_전체평가_Q001_Q110'!$B$2:$B$111,A22,'2_전체평가_Q001_Q110'!$D$2:$D$111)</x:f>
        <x:v>25</x:v>
      </x:c>
      <x:c r="E22" s="14" t="n">
        <x:f>AVERAGEIF('2_전체평가_Q001_Q110'!$B$2:$B$111,A22,'2_전체평가_Q001_Q110'!$E$2:$E$111)</x:f>
        <x:v>25</x:v>
      </x:c>
      <x:c r="F22" s="14" t="n">
        <x:f>AVERAGEIF('2_전체평가_Q001_Q110'!$B$2:$B$111,A22,'2_전체평가_Q001_Q110'!$F$2:$F$111)</x:f>
        <x:v>20</x:v>
      </x:c>
      <x:c r="G22" s="14" t="n">
        <x:f>AVERAGEIF('2_전체평가_Q001_Q110'!$B$2:$B$111,A22,'2_전체평가_Q001_Q110'!$G$2:$G$111)</x:f>
        <x:v>20</x:v>
      </x:c>
      <x:c r="H22" s="13" t="n">
        <x:f>COUNTIFS('2_전체평가_Q001_Q110'!$B$2:$B$111,A22,'2_전체평가_Q001_Q110'!$J$2:$J$111,"Y")</x:f>
        <x:v>0</x:v>
      </x:c>
    </x:row>
    <x:row r="23">
      <x:c r="A23" s="13" t="str">
        <x:v>운반차량/경사로</x:v>
      </x:c>
      <x:c r="B23" s="13" t="n">
        <x:f>COUNTIF('2_전체평가_Q001_Q110'!$B$2:$B$111,A23)</x:f>
        <x:v>1</x:v>
      </x:c>
      <x:c r="C23" s="14" t="n">
        <x:f>AVERAGEIF('2_전체평가_Q001_Q110'!$B$2:$B$111,A23,'2_전체평가_Q001_Q110'!$H$2:$H$111)</x:f>
        <x:v>88</x:v>
      </x:c>
      <x:c r="D23" s="14" t="n">
        <x:f>AVERAGEIF('2_전체평가_Q001_Q110'!$B$2:$B$111,A23,'2_전체평가_Q001_Q110'!$D$2:$D$111)</x:f>
        <x:v>25</x:v>
      </x:c>
      <x:c r="E23" s="14" t="n">
        <x:f>AVERAGEIF('2_전체평가_Q001_Q110'!$B$2:$B$111,A23,'2_전체평가_Q001_Q110'!$E$2:$E$111)</x:f>
        <x:v>23</x:v>
      </x:c>
      <x:c r="F23" s="14" t="n">
        <x:f>AVERAGEIF('2_전체평가_Q001_Q110'!$B$2:$B$111,A23,'2_전체평가_Q001_Q110'!$F$2:$F$111)</x:f>
        <x:v>20</x:v>
      </x:c>
      <x:c r="G23" s="14" t="n">
        <x:f>AVERAGEIF('2_전체평가_Q001_Q110'!$B$2:$B$111,A23,'2_전체평가_Q001_Q110'!$G$2:$G$111)</x:f>
        <x:v>20</x:v>
      </x:c>
      <x:c r="H23" s="13" t="n">
        <x:f>COUNTIFS('2_전체평가_Q001_Q110'!$B$2:$B$111,A23,'2_전체평가_Q001_Q110'!$J$2:$J$111,"Y")</x:f>
        <x:v>0</x:v>
      </x:c>
    </x:row>
    <x:row r="24">
      <x:c r="A24" s="13" t="str">
        <x:v>위험성평가</x:v>
      </x:c>
      <x:c r="B24" s="13" t="n">
        <x:f>COUNTIF('2_전체평가_Q001_Q110'!$B$2:$B$111,A24)</x:f>
        <x:v>1</x:v>
      </x:c>
      <x:c r="C24" s="14" t="n">
        <x:f>AVERAGEIF('2_전체평가_Q001_Q110'!$B$2:$B$111,A24,'2_전체평가_Q001_Q110'!$H$2:$H$111)</x:f>
        <x:v>55</x:v>
      </x:c>
      <x:c r="D24" s="14" t="n">
        <x:f>AVERAGEIF('2_전체평가_Q001_Q110'!$B$2:$B$111,A24,'2_전체평가_Q001_Q110'!$D$2:$D$111)</x:f>
        <x:v>15</x:v>
      </x:c>
      <x:c r="E24" s="14" t="n">
        <x:f>AVERAGEIF('2_전체평가_Q001_Q110'!$B$2:$B$111,A24,'2_전체평가_Q001_Q110'!$E$2:$E$111)</x:f>
        <x:v>20</x:v>
      </x:c>
      <x:c r="F24" s="14" t="n">
        <x:f>AVERAGEIF('2_전체평가_Q001_Q110'!$B$2:$B$111,A24,'2_전체평가_Q001_Q110'!$F$2:$F$111)</x:f>
        <x:v>10</x:v>
      </x:c>
      <x:c r="G24" s="14" t="n">
        <x:f>AVERAGEIF('2_전체평가_Q001_Q110'!$B$2:$B$111,A24,'2_전체평가_Q001_Q110'!$G$2:$G$111)</x:f>
        <x:v>10</x:v>
      </x:c>
      <x:c r="H24" s="13" t="n">
        <x:f>COUNTIFS('2_전체평가_Q001_Q110'!$B$2:$B$111,A24,'2_전체평가_Q001_Q110'!$J$2:$J$111,"Y")</x:f>
        <x:v>1</x:v>
      </x:c>
    </x:row>
    <x:row r="25">
      <x:c r="A25" s="13" t="str">
        <x:v>위험성평가/수시평가</x:v>
      </x:c>
      <x:c r="B25" s="13" t="n">
        <x:f>COUNTIF('2_전체평가_Q001_Q110'!$B$2:$B$111,A25)</x:f>
        <x:v>1</x:v>
      </x:c>
      <x:c r="C25" s="14" t="n">
        <x:f>AVERAGEIF('2_전체평가_Q001_Q110'!$B$2:$B$111,A25,'2_전체평가_Q001_Q110'!$H$2:$H$111)</x:f>
        <x:v>80</x:v>
      </x:c>
      <x:c r="D25" s="14" t="n">
        <x:f>AVERAGEIF('2_전체평가_Q001_Q110'!$B$2:$B$111,A25,'2_전체평가_Q001_Q110'!$D$2:$D$111)</x:f>
        <x:v>25</x:v>
      </x:c>
      <x:c r="E25" s="14" t="n">
        <x:f>AVERAGEIF('2_전체평가_Q001_Q110'!$B$2:$B$111,A25,'2_전체평가_Q001_Q110'!$E$2:$E$111)</x:f>
        <x:v>25</x:v>
      </x:c>
      <x:c r="F25" s="14" t="n">
        <x:f>AVERAGEIF('2_전체평가_Q001_Q110'!$B$2:$B$111,A25,'2_전체평가_Q001_Q110'!$F$2:$F$111)</x:f>
        <x:v>15</x:v>
      </x:c>
      <x:c r="G25" s="14" t="n">
        <x:f>AVERAGEIF('2_전체평가_Q001_Q110'!$B$2:$B$111,A25,'2_전체평가_Q001_Q110'!$G$2:$G$111)</x:f>
        <x:v>15</x:v>
      </x:c>
      <x:c r="H25" s="13" t="n">
        <x:f>COUNTIFS('2_전체평가_Q001_Q110'!$B$2:$B$111,A25,'2_전체평가_Q001_Q110'!$J$2:$J$111,"Y")</x:f>
        <x:v>0</x:v>
      </x:c>
    </x:row>
    <x:row r="26">
      <x:c r="A26" s="13" t="str">
        <x:v>위험성평가/작업허가/기록관리</x:v>
      </x:c>
      <x:c r="B26" s="13" t="n">
        <x:f>COUNTIF('2_전체평가_Q001_Q110'!$B$2:$B$111,A26)</x:f>
        <x:v>6</x:v>
      </x:c>
      <x:c r="C26" s="14" t="n">
        <x:f>AVERAGEIF('2_전체평가_Q001_Q110'!$B$2:$B$111,A26,'2_전체평가_Q001_Q110'!$H$2:$H$111)</x:f>
        <x:v>72</x:v>
      </x:c>
      <x:c r="D26" s="14" t="n">
        <x:f>AVERAGEIF('2_전체평가_Q001_Q110'!$B$2:$B$111,A26,'2_전체평가_Q001_Q110'!$D$2:$D$111)</x:f>
        <x:v>15.333333333333334</x:v>
      </x:c>
      <x:c r="E26" s="14" t="n">
        <x:f>AVERAGEIF('2_전체평가_Q001_Q110'!$B$2:$B$111,A26,'2_전체평가_Q001_Q110'!$E$2:$E$111)</x:f>
        <x:v>18.666666666666668</x:v>
      </x:c>
      <x:c r="F26" s="14" t="n">
        <x:f>AVERAGEIF('2_전체평가_Q001_Q110'!$B$2:$B$111,A26,'2_전체평가_Q001_Q110'!$F$2:$F$111)</x:f>
        <x:v>19</x:v>
      </x:c>
      <x:c r="G26" s="14" t="n">
        <x:f>AVERAGEIF('2_전체평가_Q001_Q110'!$B$2:$B$111,A26,'2_전체평가_Q001_Q110'!$G$2:$G$111)</x:f>
        <x:v>19</x:v>
      </x:c>
      <x:c r="H26" s="13" t="n">
        <x:f>COUNTIFS('2_전체평가_Q001_Q110'!$B$2:$B$111,A26,'2_전체평가_Q001_Q110'!$J$2:$J$111,"Y")</x:f>
        <x:v>6</x:v>
      </x:c>
    </x:row>
    <x:row r="27">
      <x:c r="A27" s="13" t="str">
        <x:v>유해가스</x:v>
      </x:c>
      <x:c r="B27" s="13" t="n">
        <x:f>COUNTIF('2_전체평가_Q001_Q110'!$B$2:$B$111,A27)</x:f>
        <x:v>1</x:v>
      </x:c>
      <x:c r="C27" s="14" t="n">
        <x:f>AVERAGEIF('2_전체평가_Q001_Q110'!$B$2:$B$111,A27,'2_전체평가_Q001_Q110'!$H$2:$H$111)</x:f>
        <x:v>95</x:v>
      </x:c>
      <x:c r="D27" s="14" t="n">
        <x:f>AVERAGEIF('2_전체평가_Q001_Q110'!$B$2:$B$111,A27,'2_전체평가_Q001_Q110'!$D$2:$D$111)</x:f>
        <x:v>25</x:v>
      </x:c>
      <x:c r="E27" s="14" t="n">
        <x:f>AVERAGEIF('2_전체평가_Q001_Q110'!$B$2:$B$111,A27,'2_전체평가_Q001_Q110'!$E$2:$E$111)</x:f>
        <x:v>25</x:v>
      </x:c>
      <x:c r="F27" s="14" t="n">
        <x:f>AVERAGEIF('2_전체평가_Q001_Q110'!$B$2:$B$111,A27,'2_전체평가_Q001_Q110'!$F$2:$F$111)</x:f>
        <x:v>25</x:v>
      </x:c>
      <x:c r="G27" s="14" t="n">
        <x:f>AVERAGEIF('2_전체평가_Q001_Q110'!$B$2:$B$111,A27,'2_전체평가_Q001_Q110'!$G$2:$G$111)</x:f>
        <x:v>20</x:v>
      </x:c>
      <x:c r="H27" s="13" t="n">
        <x:f>COUNTIFS('2_전체평가_Q001_Q110'!$B$2:$B$111,A27,'2_전체평가_Q001_Q110'!$J$2:$J$111,"Y")</x:f>
        <x:v>0</x:v>
      </x:c>
    </x:row>
    <x:row r="28">
      <x:c r="A28" s="13" t="str">
        <x:v>유해가스/산소결핍</x:v>
      </x:c>
      <x:c r="B28" s="13" t="n">
        <x:f>COUNTIF('2_전체평가_Q001_Q110'!$B$2:$B$111,A28)</x:f>
        <x:v>1</x:v>
      </x:c>
      <x:c r="C28" s="14" t="n">
        <x:f>AVERAGEIF('2_전체평가_Q001_Q110'!$B$2:$B$111,A28,'2_전체평가_Q001_Q110'!$H$2:$H$111)</x:f>
        <x:v>95</x:v>
      </x:c>
      <x:c r="D28" s="14" t="n">
        <x:f>AVERAGEIF('2_전체평가_Q001_Q110'!$B$2:$B$111,A28,'2_전체평가_Q001_Q110'!$D$2:$D$111)</x:f>
        <x:v>25</x:v>
      </x:c>
      <x:c r="E28" s="14" t="n">
        <x:f>AVERAGEIF('2_전체평가_Q001_Q110'!$B$2:$B$111,A28,'2_전체평가_Q001_Q110'!$E$2:$E$111)</x:f>
        <x:v>25</x:v>
      </x:c>
      <x:c r="F28" s="14" t="n">
        <x:f>AVERAGEIF('2_전체평가_Q001_Q110'!$B$2:$B$111,A28,'2_전체평가_Q001_Q110'!$F$2:$F$111)</x:f>
        <x:v>25</x:v>
      </x:c>
      <x:c r="G28" s="14" t="n">
        <x:f>AVERAGEIF('2_전체평가_Q001_Q110'!$B$2:$B$111,A28,'2_전체평가_Q001_Q110'!$G$2:$G$111)</x:f>
        <x:v>20</x:v>
      </x:c>
      <x:c r="H28" s="13" t="n">
        <x:f>COUNTIFS('2_전체평가_Q001_Q110'!$B$2:$B$111,A28,'2_전체평가_Q001_Q110'!$J$2:$J$111,"Y")</x:f>
        <x:v>0</x:v>
      </x:c>
    </x:row>
    <x:row r="29">
      <x:c r="A29" s="13" t="str">
        <x:v>작업중지</x:v>
      </x:c>
      <x:c r="B29" s="13" t="n">
        <x:f>COUNTIF('2_전체평가_Q001_Q110'!$B$2:$B$111,A29)</x:f>
        <x:v>1</x:v>
      </x:c>
      <x:c r="C29" s="14" t="n">
        <x:f>AVERAGEIF('2_전체평가_Q001_Q110'!$B$2:$B$111,A29,'2_전체평가_Q001_Q110'!$H$2:$H$111)</x:f>
        <x:v>93</x:v>
      </x:c>
      <x:c r="D29" s="14" t="n">
        <x:f>AVERAGEIF('2_전체평가_Q001_Q110'!$B$2:$B$111,A29,'2_전체평가_Q001_Q110'!$D$2:$D$111)</x:f>
        <x:v>20</x:v>
      </x:c>
      <x:c r="E29" s="14" t="n">
        <x:f>AVERAGEIF('2_전체평가_Q001_Q110'!$B$2:$B$111,A29,'2_전체평가_Q001_Q110'!$E$2:$E$111)</x:f>
        <x:v>23</x:v>
      </x:c>
      <x:c r="F29" s="14" t="n">
        <x:f>AVERAGEIF('2_전체평가_Q001_Q110'!$B$2:$B$111,A29,'2_전체평가_Q001_Q110'!$F$2:$F$111)</x:f>
        <x:v>25</x:v>
      </x:c>
      <x:c r="G29" s="14" t="n">
        <x:f>AVERAGEIF('2_전체평가_Q001_Q110'!$B$2:$B$111,A29,'2_전체평가_Q001_Q110'!$G$2:$G$111)</x:f>
        <x:v>25</x:v>
      </x:c>
      <x:c r="H29" s="13" t="n">
        <x:f>COUNTIFS('2_전체평가_Q001_Q110'!$B$2:$B$111,A29,'2_전체평가_Q001_Q110'!$J$2:$J$111,"Y")</x:f>
        <x:v>0</x:v>
      </x:c>
    </x:row>
    <x:row r="30">
      <x:c r="A30" s="13" t="str">
        <x:v>작업중지/재개</x:v>
      </x:c>
      <x:c r="B30" s="13" t="n">
        <x:f>COUNTIF('2_전체평가_Q001_Q110'!$B$2:$B$111,A30)</x:f>
        <x:v>1</x:v>
      </x:c>
      <x:c r="C30" s="14" t="n">
        <x:f>AVERAGEIF('2_전체평가_Q001_Q110'!$B$2:$B$111,A30,'2_전체평가_Q001_Q110'!$H$2:$H$111)</x:f>
        <x:v>75</x:v>
      </x:c>
      <x:c r="D30" s="14" t="n">
        <x:f>AVERAGEIF('2_전체평가_Q001_Q110'!$B$2:$B$111,A30,'2_전체평가_Q001_Q110'!$D$2:$D$111)</x:f>
        <x:v>15</x:v>
      </x:c>
      <x:c r="E30" s="14" t="n">
        <x:f>AVERAGEIF('2_전체평가_Q001_Q110'!$B$2:$B$111,A30,'2_전체평가_Q001_Q110'!$E$2:$E$111)</x:f>
        <x:v>20</x:v>
      </x:c>
      <x:c r="F30" s="14" t="n">
        <x:f>AVERAGEIF('2_전체평가_Q001_Q110'!$B$2:$B$111,A30,'2_전체평가_Q001_Q110'!$F$2:$F$111)</x:f>
        <x:v>20</x:v>
      </x:c>
      <x:c r="G30" s="14" t="n">
        <x:f>AVERAGEIF('2_전체평가_Q001_Q110'!$B$2:$B$111,A30,'2_전체평가_Q001_Q110'!$G$2:$G$111)</x:f>
        <x:v>20</x:v>
      </x:c>
      <x:c r="H30" s="13" t="n">
        <x:f>COUNTIFS('2_전체평가_Q001_Q110'!$B$2:$B$111,A30,'2_전체평가_Q001_Q110'!$J$2:$J$111,"Y")</x:f>
        <x:v>1</x:v>
      </x:c>
    </x:row>
    <x:row r="31">
      <x:c r="A31" s="13" t="str">
        <x:v>장비/운반/차량</x:v>
      </x:c>
      <x:c r="B31" s="13" t="n">
        <x:f>COUNTIF('2_전체평가_Q001_Q110'!$B$2:$B$111,A31)</x:f>
        <x:v>7</x:v>
      </x:c>
      <x:c r="C31" s="14" t="n">
        <x:f>AVERAGEIF('2_전체평가_Q001_Q110'!$B$2:$B$111,A31,'2_전체평가_Q001_Q110'!$H$2:$H$111)</x:f>
        <x:v>68.85714285714286</x:v>
      </x:c>
      <x:c r="D31" s="14" t="n">
        <x:f>AVERAGEIF('2_전체평가_Q001_Q110'!$B$2:$B$111,A31,'2_전체평가_Q001_Q110'!$D$2:$D$111)</x:f>
        <x:v>13.714285714285714</x:v>
      </x:c>
      <x:c r="E31" s="14" t="n">
        <x:f>AVERAGEIF('2_전체평가_Q001_Q110'!$B$2:$B$111,A31,'2_전체평가_Q001_Q110'!$E$2:$E$111)</x:f>
        <x:v>17.142857142857142</x:v>
      </x:c>
      <x:c r="F31" s="14" t="n">
        <x:f>AVERAGEIF('2_전체평가_Q001_Q110'!$B$2:$B$111,A31,'2_전체평가_Q001_Q110'!$F$2:$F$111)</x:f>
        <x:v>19</x:v>
      </x:c>
      <x:c r="G31" s="14" t="n">
        <x:f>AVERAGEIF('2_전체평가_Q001_Q110'!$B$2:$B$111,A31,'2_전체평가_Q001_Q110'!$G$2:$G$111)</x:f>
        <x:v>19</x:v>
      </x:c>
      <x:c r="H31" s="13" t="n">
        <x:f>COUNTIFS('2_전체평가_Q001_Q110'!$B$2:$B$111,A31,'2_전체평가_Q001_Q110'!$J$2:$J$111,"Y")</x:f>
        <x:v>7</x:v>
      </x:c>
    </x:row>
    <x:row r="32">
      <x:c r="A32" s="13" t="str">
        <x:v>장비정비</x:v>
      </x:c>
      <x:c r="B32" s="13" t="n">
        <x:f>COUNTIF('2_전체평가_Q001_Q110'!$B$2:$B$111,A32)</x:f>
        <x:v>1</x:v>
      </x:c>
      <x:c r="C32" s="14" t="n">
        <x:f>AVERAGEIF('2_전체평가_Q001_Q110'!$B$2:$B$111,A32,'2_전체평가_Q001_Q110'!$H$2:$H$111)</x:f>
        <x:v>88</x:v>
      </x:c>
      <x:c r="D32" s="14" t="n">
        <x:f>AVERAGEIF('2_전체평가_Q001_Q110'!$B$2:$B$111,A32,'2_전체평가_Q001_Q110'!$D$2:$D$111)</x:f>
        <x:v>25</x:v>
      </x:c>
      <x:c r="E32" s="14" t="n">
        <x:f>AVERAGEIF('2_전체평가_Q001_Q110'!$B$2:$B$111,A32,'2_전체평가_Q001_Q110'!$E$2:$E$111)</x:f>
        <x:v>23</x:v>
      </x:c>
      <x:c r="F32" s="14" t="n">
        <x:f>AVERAGEIF('2_전체평가_Q001_Q110'!$B$2:$B$111,A32,'2_전체평가_Q001_Q110'!$F$2:$F$111)</x:f>
        <x:v>20</x:v>
      </x:c>
      <x:c r="G32" s="14" t="n">
        <x:f>AVERAGEIF('2_전체평가_Q001_Q110'!$B$2:$B$111,A32,'2_전체평가_Q001_Q110'!$G$2:$G$111)</x:f>
        <x:v>20</x:v>
      </x:c>
      <x:c r="H32" s="13" t="n">
        <x:f>COUNTIFS('2_전체평가_Q001_Q110'!$B$2:$B$111,A32,'2_전체평가_Q001_Q110'!$J$2:$J$111,"Y")</x:f>
        <x:v>0</x:v>
      </x:c>
    </x:row>
    <x:row r="33">
      <x:c r="A33" s="13" t="str">
        <x:v>장비정비/전기</x:v>
      </x:c>
      <x:c r="B33" s="13" t="n">
        <x:f>COUNTIF('2_전체평가_Q001_Q110'!$B$2:$B$111,A33)</x:f>
        <x:v>1</x:v>
      </x:c>
      <x:c r="C33" s="14" t="n">
        <x:f>AVERAGEIF('2_전체평가_Q001_Q110'!$B$2:$B$111,A33,'2_전체평가_Q001_Q110'!$H$2:$H$111)</x:f>
        <x:v>98</x:v>
      </x:c>
      <x:c r="D33" s="14" t="n">
        <x:f>AVERAGEIF('2_전체평가_Q001_Q110'!$B$2:$B$111,A33,'2_전체평가_Q001_Q110'!$D$2:$D$111)</x:f>
        <x:v>25</x:v>
      </x:c>
      <x:c r="E33" s="14" t="n">
        <x:f>AVERAGEIF('2_전체평가_Q001_Q110'!$B$2:$B$111,A33,'2_전체평가_Q001_Q110'!$E$2:$E$111)</x:f>
        <x:v>23</x:v>
      </x:c>
      <x:c r="F33" s="14" t="n">
        <x:f>AVERAGEIF('2_전체평가_Q001_Q110'!$B$2:$B$111,A33,'2_전체평가_Q001_Q110'!$F$2:$F$111)</x:f>
        <x:v>25</x:v>
      </x:c>
      <x:c r="G33" s="14" t="n">
        <x:f>AVERAGEIF('2_전체평가_Q001_Q110'!$B$2:$B$111,A33,'2_전체평가_Q001_Q110'!$G$2:$G$111)</x:f>
        <x:v>25</x:v>
      </x:c>
      <x:c r="H33" s="13" t="n">
        <x:f>COUNTIFS('2_전체평가_Q001_Q110'!$B$2:$B$111,A33,'2_전체평가_Q001_Q110'!$J$2:$J$111,"Y")</x:f>
        <x:v>0</x:v>
      </x:c>
    </x:row>
    <x:row r="34">
      <x:c r="A34" s="13" t="str">
        <x:v>전기안전</x:v>
      </x:c>
      <x:c r="B34" s="13" t="n">
        <x:f>COUNTIF('2_전체평가_Q001_Q110'!$B$2:$B$111,A34)</x:f>
        <x:v>9</x:v>
      </x:c>
      <x:c r="C34" s="14" t="n">
        <x:f>AVERAGEIF('2_전체평가_Q001_Q110'!$B$2:$B$111,A34,'2_전체평가_Q001_Q110'!$H$2:$H$111)</x:f>
        <x:v>72</x:v>
      </x:c>
      <x:c r="D34" s="14" t="n">
        <x:f>AVERAGEIF('2_전체평가_Q001_Q110'!$B$2:$B$111,A34,'2_전체평가_Q001_Q110'!$D$2:$D$111)</x:f>
        <x:v>15.333333333333334</x:v>
      </x:c>
      <x:c r="E34" s="14" t="n">
        <x:f>AVERAGEIF('2_전체평가_Q001_Q110'!$B$2:$B$111,A34,'2_전체평가_Q001_Q110'!$E$2:$E$111)</x:f>
        <x:v>18.666666666666668</x:v>
      </x:c>
      <x:c r="F34" s="14" t="n">
        <x:f>AVERAGEIF('2_전체평가_Q001_Q110'!$B$2:$B$111,A34,'2_전체평가_Q001_Q110'!$F$2:$F$111)</x:f>
        <x:v>19</x:v>
      </x:c>
      <x:c r="G34" s="14" t="n">
        <x:f>AVERAGEIF('2_전체평가_Q001_Q110'!$B$2:$B$111,A34,'2_전체평가_Q001_Q110'!$G$2:$G$111)</x:f>
        <x:v>19</x:v>
      </x:c>
      <x:c r="H34" s="13" t="n">
        <x:f>COUNTIFS('2_전체평가_Q001_Q110'!$B$2:$B$111,A34,'2_전체평가_Q001_Q110'!$J$2:$J$111,"Y")</x:f>
        <x:v>9</x:v>
      </x:c>
    </x:row>
    <x:row r="35">
      <x:c r="A35" s="13" t="str">
        <x:v>종합 시나리오</x:v>
      </x:c>
      <x:c r="B35" s="13" t="n">
        <x:f>COUNTIF('2_전체평가_Q001_Q110'!$B$2:$B$111,A35)</x:f>
        <x:v>1</x:v>
      </x:c>
      <x:c r="C35" s="14" t="n">
        <x:f>AVERAGEIF('2_전체평가_Q001_Q110'!$B$2:$B$111,A35,'2_전체평가_Q001_Q110'!$H$2:$H$111)</x:f>
        <x:v>70</x:v>
      </x:c>
      <x:c r="D35" s="14" t="n">
        <x:f>AVERAGEIF('2_전체평가_Q001_Q110'!$B$2:$B$111,A35,'2_전체평가_Q001_Q110'!$D$2:$D$111)</x:f>
        <x:v>20</x:v>
      </x:c>
      <x:c r="E35" s="14" t="n">
        <x:f>AVERAGEIF('2_전체평가_Q001_Q110'!$B$2:$B$111,A35,'2_전체평가_Q001_Q110'!$E$2:$E$111)</x:f>
        <x:v>20</x:v>
      </x:c>
      <x:c r="F35" s="14" t="n">
        <x:f>AVERAGEIF('2_전체평가_Q001_Q110'!$B$2:$B$111,A35,'2_전체평가_Q001_Q110'!$F$2:$F$111)</x:f>
        <x:v>15</x:v>
      </x:c>
      <x:c r="G35" s="14" t="n">
        <x:f>AVERAGEIF('2_전체평가_Q001_Q110'!$B$2:$B$111,A35,'2_전체평가_Q001_Q110'!$G$2:$G$111)</x:f>
        <x:v>15</x:v>
      </x:c>
      <x:c r="H35" s="13" t="n">
        <x:f>COUNTIFS('2_전체평가_Q001_Q110'!$B$2:$B$111,A35,'2_전체평가_Q001_Q110'!$J$2:$J$111,"Y")</x:f>
        <x:v>1</x:v>
      </x:c>
    </x:row>
    <x:row r="36">
      <x:c r="A36" s="13" t="str">
        <x:v>중대재해처벌법 책임</x:v>
      </x:c>
      <x:c r="B36" s="13" t="n">
        <x:f>COUNTIF('2_전체평가_Q001_Q110'!$B$2:$B$111,A36)</x:f>
        <x:v>1</x:v>
      </x:c>
      <x:c r="C36" s="14" t="n">
        <x:f>AVERAGEIF('2_전체평가_Q001_Q110'!$B$2:$B$111,A36,'2_전체평가_Q001_Q110'!$H$2:$H$111)</x:f>
        <x:v>90</x:v>
      </x:c>
      <x:c r="D36" s="14" t="n">
        <x:f>AVERAGEIF('2_전체평가_Q001_Q110'!$B$2:$B$111,A36,'2_전체평가_Q001_Q110'!$D$2:$D$111)</x:f>
        <x:v>25</x:v>
      </x:c>
      <x:c r="E36" s="14" t="n">
        <x:f>AVERAGEIF('2_전체평가_Q001_Q110'!$B$2:$B$111,A36,'2_전체평가_Q001_Q110'!$E$2:$E$111)</x:f>
        <x:v>25</x:v>
      </x:c>
      <x:c r="F36" s="14" t="n">
        <x:f>AVERAGEIF('2_전체평가_Q001_Q110'!$B$2:$B$111,A36,'2_전체평가_Q001_Q110'!$F$2:$F$111)</x:f>
        <x:v>20</x:v>
      </x:c>
      <x:c r="G36" s="14" t="n">
        <x:f>AVERAGEIF('2_전체평가_Q001_Q110'!$B$2:$B$111,A36,'2_전체평가_Q001_Q110'!$G$2:$G$111)</x:f>
        <x:v>20</x:v>
      </x:c>
      <x:c r="H36" s="13" t="n">
        <x:f>COUNTIFS('2_전체평가_Q001_Q110'!$B$2:$B$111,A36,'2_전체평가_Q001_Q110'!$J$2:$J$111,"Y")</x:f>
        <x:v>0</x:v>
      </x:c>
    </x:row>
    <x:row r="37">
      <x:c r="A37" s="13" t="str">
        <x:v>중대재해처벌법/도급</x:v>
      </x:c>
      <x:c r="B37" s="13" t="n">
        <x:f>COUNTIF('2_전체평가_Q001_Q110'!$B$2:$B$111,A37)</x:f>
        <x:v>1</x:v>
      </x:c>
      <x:c r="C37" s="14" t="n">
        <x:f>AVERAGEIF('2_전체평가_Q001_Q110'!$B$2:$B$111,A37,'2_전체평가_Q001_Q110'!$H$2:$H$111)</x:f>
        <x:v>90</x:v>
      </x:c>
      <x:c r="D37" s="14" t="n">
        <x:f>AVERAGEIF('2_전체평가_Q001_Q110'!$B$2:$B$111,A37,'2_전체평가_Q001_Q110'!$D$2:$D$111)</x:f>
        <x:v>25</x:v>
      </x:c>
      <x:c r="E37" s="14" t="n">
        <x:f>AVERAGEIF('2_전체평가_Q001_Q110'!$B$2:$B$111,A37,'2_전체평가_Q001_Q110'!$E$2:$E$111)</x:f>
        <x:v>25</x:v>
      </x:c>
      <x:c r="F37" s="14" t="n">
        <x:f>AVERAGEIF('2_전체평가_Q001_Q110'!$B$2:$B$111,A37,'2_전체평가_Q001_Q110'!$F$2:$F$111)</x:f>
        <x:v>20</x:v>
      </x:c>
      <x:c r="G37" s="14" t="n">
        <x:f>AVERAGEIF('2_전체평가_Q001_Q110'!$B$2:$B$111,A37,'2_전체평가_Q001_Q110'!$G$2:$G$111)</x:f>
        <x:v>20</x:v>
      </x:c>
      <x:c r="H37" s="13" t="n">
        <x:f>COUNTIFS('2_전체평가_Q001_Q110'!$B$2:$B$111,A37,'2_전체평가_Q001_Q110'!$J$2:$J$111,"Y")</x:f>
        <x:v>0</x:v>
      </x:c>
    </x:row>
    <x:row r="38">
      <x:c r="A38" s="13" t="str">
        <x:v>환기</x:v>
      </x:c>
      <x:c r="B38" s="13" t="n">
        <x:f>COUNTIF('2_전체평가_Q001_Q110'!$B$2:$B$111,A38)</x:f>
        <x:v>1</x:v>
      </x:c>
      <x:c r="C38" s="14" t="n">
        <x:f>AVERAGEIF('2_전체평가_Q001_Q110'!$B$2:$B$111,A38,'2_전체평가_Q001_Q110'!$H$2:$H$111)</x:f>
        <x:v>75</x:v>
      </x:c>
      <x:c r="D38" s="14" t="n">
        <x:f>AVERAGEIF('2_전체평가_Q001_Q110'!$B$2:$B$111,A38,'2_전체평가_Q001_Q110'!$D$2:$D$111)</x:f>
        <x:v>15</x:v>
      </x:c>
      <x:c r="E38" s="14" t="n">
        <x:f>AVERAGEIF('2_전체평가_Q001_Q110'!$B$2:$B$111,A38,'2_전체평가_Q001_Q110'!$E$2:$E$111)</x:f>
        <x:v>20</x:v>
      </x:c>
      <x:c r="F38" s="14" t="n">
        <x:f>AVERAGEIF('2_전체평가_Q001_Q110'!$B$2:$B$111,A38,'2_전체평가_Q001_Q110'!$F$2:$F$111)</x:f>
        <x:v>20</x:v>
      </x:c>
      <x:c r="G38" s="14" t="n">
        <x:f>AVERAGEIF('2_전체평가_Q001_Q110'!$B$2:$B$111,A38,'2_전체평가_Q001_Q110'!$G$2:$G$111)</x:f>
        <x:v>20</x:v>
      </x:c>
      <x:c r="H38" s="13" t="n">
        <x:f>COUNTIFS('2_전체평가_Q001_Q110'!$B$2:$B$111,A38,'2_전체평가_Q001_Q110'!$J$2:$J$111,"Y")</x:f>
        <x:v>1</x:v>
      </x:c>
    </x:row>
    <x:row r="39">
      <x:c r="A39" s="13" t="str">
        <x:v>환기/비상</x:v>
      </x:c>
      <x:c r="B39" s="13" t="n">
        <x:f>COUNTIF('2_전체평가_Q001_Q110'!$B$2:$B$111,A39)</x:f>
        <x:v>1</x:v>
      </x:c>
      <x:c r="C39" s="14" t="n">
        <x:f>AVERAGEIF('2_전체평가_Q001_Q110'!$B$2:$B$111,A39,'2_전체평가_Q001_Q110'!$H$2:$H$111)</x:f>
        <x:v>98</x:v>
      </x:c>
      <x:c r="D39" s="14" t="n">
        <x:f>AVERAGEIF('2_전체평가_Q001_Q110'!$B$2:$B$111,A39,'2_전체평가_Q001_Q110'!$D$2:$D$111)</x:f>
        <x:v>25</x:v>
      </x:c>
      <x:c r="E39" s="14" t="n">
        <x:f>AVERAGEIF('2_전체평가_Q001_Q110'!$B$2:$B$111,A39,'2_전체평가_Q001_Q110'!$E$2:$E$111)</x:f>
        <x:v>23</x:v>
      </x:c>
      <x:c r="F39" s="14" t="n">
        <x:f>AVERAGEIF('2_전체평가_Q001_Q110'!$B$2:$B$111,A39,'2_전체평가_Q001_Q110'!$F$2:$F$111)</x:f>
        <x:v>25</x:v>
      </x:c>
      <x:c r="G39" s="14" t="n">
        <x:f>AVERAGEIF('2_전체평가_Q001_Q110'!$B$2:$B$111,A39,'2_전체평가_Q001_Q110'!$G$2:$G$111)</x:f>
        <x:v>25</x:v>
      </x:c>
      <x:c r="H39" s="13" t="n">
        <x:f>COUNTIFS('2_전체평가_Q001_Q110'!$B$2:$B$111,A39,'2_전체평가_Q001_Q110'!$J$2:$J$111,"Y")</x:f>
        <x:v>0</x:v>
      </x:c>
    </x:row>
    <x:row r="40">
      <x:c r="A40" s="13" t="str">
        <x:v>환기/유해가스</x:v>
      </x:c>
      <x:c r="B40" s="13" t="n">
        <x:f>COUNTIF('2_전체평가_Q001_Q110'!$B$2:$B$111,A40)</x:f>
        <x:v>7</x:v>
      </x:c>
      <x:c r="C40" s="14" t="n">
        <x:f>AVERAGEIF('2_전체평가_Q001_Q110'!$B$2:$B$111,A40,'2_전체평가_Q001_Q110'!$H$2:$H$111)</x:f>
        <x:v>69</x:v>
      </x:c>
      <x:c r="D40" s="14" t="n">
        <x:f>AVERAGEIF('2_전체평가_Q001_Q110'!$B$2:$B$111,A40,'2_전체평가_Q001_Q110'!$D$2:$D$111)</x:f>
        <x:v>13.857142857142858</x:v>
      </x:c>
      <x:c r="E40" s="14" t="n">
        <x:f>AVERAGEIF('2_전체평가_Q001_Q110'!$B$2:$B$111,A40,'2_전체평가_Q001_Q110'!$E$2:$E$111)</x:f>
        <x:v>17.142857142857142</x:v>
      </x:c>
      <x:c r="F40" s="14" t="n">
        <x:f>AVERAGEIF('2_전체평가_Q001_Q110'!$B$2:$B$111,A40,'2_전체평가_Q001_Q110'!$F$2:$F$111)</x:f>
        <x:v>19</x:v>
      </x:c>
      <x:c r="G40" s="14" t="n">
        <x:f>AVERAGEIF('2_전체평가_Q001_Q110'!$B$2:$B$111,A40,'2_전체평가_Q001_Q110'!$G$2:$G$111)</x:f>
        <x:v>19</x:v>
      </x:c>
      <x:c r="H40" s="13" t="n">
        <x:f>COUNTIFS('2_전체평가_Q001_Q110'!$B$2:$B$111,A40,'2_전체평가_Q001_Q110'!$J$2:$J$111,"Y")</x:f>
        <x:v>7</x:v>
      </x:c>
    </x:row>
    <x:row r="41">
      <x:c r="A41" s="13" t="str">
        <x:v>TBM(툴박스 미팅)</x:v>
      </x:c>
      <x:c r="B41" s="13" t="n">
        <x:f>COUNTIF('2_전체평가_Q001_Q110'!$B$2:$B$111,A41)</x:f>
        <x:v>7</x:v>
      </x:c>
      <x:c r="C41" s="14" t="n">
        <x:f>AVERAGEIF('2_전체평가_Q001_Q110'!$B$2:$B$111,A41,'2_전체평가_Q001_Q110'!$H$2:$H$111)</x:f>
        <x:v>72.14285714285714</x:v>
      </x:c>
      <x:c r="D41" s="14" t="n">
        <x:f>AVERAGEIF('2_전체평가_Q001_Q110'!$B$2:$B$111,A41,'2_전체평가_Q001_Q110'!$D$2:$D$111)</x:f>
        <x:v>15.285714285714286</x:v>
      </x:c>
      <x:c r="E41" s="14" t="n">
        <x:f>AVERAGEIF('2_전체평가_Q001_Q110'!$B$2:$B$111,A41,'2_전체평가_Q001_Q110'!$E$2:$E$111)</x:f>
        <x:v>18.857142857142858</x:v>
      </x:c>
      <x:c r="F41" s="14" t="n">
        <x:f>AVERAGEIF('2_전체평가_Q001_Q110'!$B$2:$B$111,A41,'2_전체평가_Q001_Q110'!$F$2:$F$111)</x:f>
        <x:v>19</x:v>
      </x:c>
      <x:c r="G41" s="14" t="n">
        <x:f>AVERAGEIF('2_전체평가_Q001_Q110'!$B$2:$B$111,A41,'2_전체평가_Q001_Q110'!$G$2:$G$111)</x:f>
        <x:v>19</x:v>
      </x:c>
      <x:c r="H41" s="13" t="n">
        <x:f>COUNTIFS('2_전체평가_Q001_Q110'!$B$2:$B$111,A41,'2_전체평가_Q001_Q110'!$J$2:$J$111,"Y")</x:f>
        <x:v>7</x:v>
      </x:c>
    </x:row>
  </x:sheetData>
  <x:pageMargins left="0.7" right="0.7" top="0.75" bottom="0.75" header="0.3" footer="0.3"/>
  <x:tableParts count="1">
    <x:tablePart xmlns:r="http://schemas.openxmlformats.org/officeDocument/2006/relationships" r:id="Rbec08a13e841421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8" hidden="0" customWidth="1"/>
    <x:col min="11" max="11" width="10" hidden="0" customWidth="1"/>
    <x:col min="12" max="12" width="10" hidden="0" customWidth="1"/>
    <x:col min="13" max="13" width="12" hidden="0" customWidth="1"/>
    <x:col min="14" max="14" width="12" hidden="0" customWidth="1"/>
    <x:col min="15" max="15" width="72" hidden="0" customWidth="1"/>
  </x:cols>
  <x:sheetData>
    <x:row r="1">
      <x:c r="A1" s="9" t="str">
        <x:v>question_id</x:v>
      </x:c>
      <x:c r="B1" s="9" t="str">
        <x:v>category</x:v>
      </x:c>
      <x:c r="C1" s="9" t="str">
        <x:v>기존 검색정확도</x:v>
      </x:c>
      <x:c r="D1" s="9" t="str">
        <x:v>기존 답변정확도</x:v>
      </x:c>
      <x:c r="E1" s="9" t="str">
        <x:v>기존 근거성</x:v>
      </x:c>
      <x:c r="F1" s="9" t="str">
        <x:v>기존 환각억제</x:v>
      </x:c>
      <x:c r="G1" s="9" t="str">
        <x:v>기존 실무성</x:v>
      </x:c>
      <x:c r="H1" s="9" t="str">
        <x:v>검색_적합성</x:v>
      </x:c>
      <x:c r="I1" s="9" t="str">
        <x:v>근거_기반성</x:v>
      </x:c>
      <x:c r="J1" s="9" t="str">
        <x:v>안전법령_판단정확성</x:v>
      </x:c>
      <x:c r="K1" s="9" t="str">
        <x:v>실무성</x:v>
      </x:c>
      <x:c r="L1" s="9" t="str">
        <x:v>총점</x:v>
      </x:c>
      <x:c r="M1" s="9" t="str">
        <x:v>판정</x:v>
      </x:c>
      <x:c r="N1" s="9" t="str">
        <x:v>검토필요</x:v>
      </x:c>
      <x:c r="O1" s="9" t="str">
        <x:v>환산 근거</x:v>
      </x:c>
    </x:row>
    <x:row r="2" ht="42" customHeight="1">
      <x:c r="A2" s="13" t="str">
        <x:v>Q001</x:v>
      </x:c>
      <x:c r="B2" s="13" t="str">
        <x:v>낙반/중대재해</x:v>
      </x:c>
      <x:c r="C2" s="13" t="n">
        <x:v>5</x:v>
      </x:c>
      <x:c r="D2" s="13" t="n">
        <x:v>5</x:v>
      </x:c>
      <x:c r="E2" s="13" t="n">
        <x:v>4</x:v>
      </x:c>
      <x:c r="F2" s="13" t="n">
        <x:v>5</x:v>
      </x:c>
      <x:c r="G2" s="13" t="n">
        <x:v>5</x:v>
      </x:c>
      <x:c r="H2" s="13" t="n">
        <x:v>25</x:v>
      </x:c>
      <x:c r="I2" s="13" t="n">
        <x:v>23</x:v>
      </x:c>
      <x:c r="J2" s="13" t="n">
        <x:v>25</x:v>
      </x:c>
      <x:c r="K2" s="13" t="n">
        <x:v>25</x:v>
      </x:c>
      <x:c r="L2" s="13" t="n">
        <x:v>98</x:v>
      </x:c>
      <x:c r="M2" s="16" t="str">
        <x:v>매우 우수</x:v>
      </x:c>
      <x:c r="N2" s="13" t="str">
        <x:v>N</x:v>
      </x:c>
      <x:c r="O2" s="13" t="str">
        <x:v>기존 수동평가 환산: 검색정확도 5.0/5×5; 근거성 4.0/5와 환각억제 5.0/5 평균×5; 답변정확도 5.0/5×5; 실무성 5.0/5×5; 기존 메모: 낙반·붕락 위험 상황에 대해 광산안전기술기준, 광산안전법 시행규칙, 광산안전업무 처리지침이 적절히 검색되었다. 답변은 작업중지 검토, 출입통제, 근로자 대피, 천반 균열, 부석·낙석, 지보공 상태 확인 등 현장 조치를 구체적으로 제시하여 실무성이 높다. 다만 근거 문서의 세부 조항과 답변 내용의 직접 연결성이 더 강화되면 근거성이 더욱 향상될 수 있다.; 기존 수동평가 점수가 모두 확인되어 표준 환산 완료</x:v>
      </x:c>
    </x:row>
    <x:row r="3" ht="42" customHeight="1">
      <x:c r="A3" s="13" t="str">
        <x:v>Q002</x:v>
      </x:c>
      <x:c r="B3" s="13" t="str">
        <x:v>낙반/지보</x:v>
      </x:c>
      <x:c r="C3" s="13" t="n">
        <x:v>4</x:v>
      </x:c>
      <x:c r="D3" s="13" t="n">
        <x:v>5</x:v>
      </x:c>
      <x:c r="E3" s="13" t="n">
        <x:v>4</x:v>
      </x:c>
      <x:c r="F3" s="13" t="n">
        <x:v>5</x:v>
      </x:c>
      <x:c r="G3" s="13" t="n">
        <x:v>5</x:v>
      </x:c>
      <x:c r="H3" s="13" t="n">
        <x:v>20</x:v>
      </x:c>
      <x:c r="I3" s="13" t="n">
        <x:v>23</x:v>
      </x:c>
      <x:c r="J3" s="13" t="n">
        <x:v>25</x:v>
      </x:c>
      <x:c r="K3" s="13" t="n">
        <x:v>25</x:v>
      </x:c>
      <x:c r="L3" s="13" t="n">
        <x:v>93</x:v>
      </x:c>
      <x:c r="M3" s="16" t="str">
        <x:v>매우 우수</x:v>
      </x:c>
      <x:c r="N3" s="13" t="str">
        <x:v>N</x:v>
      </x:c>
      <x:c r="O3" s="13" t="str">
        <x:v>기존 수동평가 환산: 검색정확도 4.0/5×5; 근거성 4.0/5와 환각억제 5.0/5 평균×5; 답변정확도 5.0/5×5; 실무성 5.0/5×5; 기존 메모: 지보재 변형과 낙석 흔적이 있는 작업 재개 전 점검 상황에 대해 광산안전기술기준이 적절히 검색되었고, 답변은 작업중지 검토, 출입통제, 근로자 대피, 천반 균열, 부석·낙석 위험, 지보공 변형·손상 확인 등 현장 조치를 구체적으로 제시하였다. 다만 일부 검색 결과에 건설현장 추락사고 사례가 포함되어 질문과의 직접 관련성이 다소 낮아 검색정확도와 근거성은 일부 감점하였다.; 기존 수동평가 점수가 모두 확인되어 표준 환산 완료</x:v>
      </x:c>
    </x:row>
    <x:row r="4" ht="42" customHeight="1">
      <x:c r="A4" s="13" t="str">
        <x:v>Q003</x:v>
      </x:c>
      <x:c r="B4" s="13" t="str">
        <x:v>발파</x:v>
      </x:c>
      <x:c r="C4" s="13" t="n">
        <x:v>5</x:v>
      </x:c>
      <x:c r="D4" s="13" t="n">
        <x:v>4</x:v>
      </x:c>
      <x:c r="E4" s="13" t="n">
        <x:v>5</x:v>
      </x:c>
      <x:c r="F4" s="13" t="n">
        <x:v>5</x:v>
      </x:c>
      <x:c r="G4" s="13" t="n">
        <x:v>4</x:v>
      </x:c>
      <x:c r="H4" s="13" t="n">
        <x:v>25</x:v>
      </x:c>
      <x:c r="I4" s="13" t="n">
        <x:v>25</x:v>
      </x:c>
      <x:c r="J4" s="13" t="n">
        <x:v>20</x:v>
      </x:c>
      <x:c r="K4" s="13" t="n">
        <x:v>20</x:v>
      </x:c>
      <x:c r="L4" s="13" t="n">
        <x:v>90</x:v>
      </x:c>
      <x:c r="M4" s="16" t="str">
        <x:v>매우 우수</x:v>
      </x:c>
      <x:c r="N4" s="13" t="str">
        <x:v>N</x:v>
      </x:c>
      <x:c r="O4" s="13" t="str">
        <x:v>기존 수동평가 환산: 검색정확도 5.0/5×5; 근거성 5.0/5와 환각억제 5.0/5 평균×5; 답변정확도 4.0/5×5; 실무성 4.0/5×5; 기존 메모: 발파 작업 전 안전 체크리스트 질문에 대해 광산안전법 시행규칙, 광산안전기술기준, 광산안전업무 처리지침 등 광산 특화 문서가 적절히 검색되었다. 이전 테스트에서는 일반 안전관리 문서가 상위에 검색되었으나, 발파 유형 검색 보정 이후 광산 특화 문서 중심으로 검색 결과가 개선되었다. 답변은 위험구역 출입통제, 작업자 대피, 발파 책임자 또는 안전관리자 확인, 불발 확인 전 작업 금지, 후가스·낙반·부석 확인, 보고 및 기록 등 실무 조치를 제시하였다. 다만 질문이 발파 작업 전 체크리스트임에도 일부 내용이 불발 의심 상황 중심으로 제시되어 답변정확도와 실무성은 일부 감점하였다.; 기존 수동평가 점수가 모두 확인되어 표준 환산 완료</x:v>
      </x:c>
    </x:row>
    <x:row r="5" ht="42" customHeight="1">
      <x:c r="A5" s="13" t="str">
        <x:v>Q004</x:v>
      </x:c>
      <x:c r="B5" s="13" t="str">
        <x:v>발파/불발</x:v>
      </x:c>
      <x:c r="C5" s="13" t="n">
        <x:v>5</x:v>
      </x:c>
      <x:c r="D5" s="13" t="n">
        <x:v>5</x:v>
      </x:c>
      <x:c r="E5" s="13" t="n">
        <x:v>5</x:v>
      </x:c>
      <x:c r="F5" s="13" t="n">
        <x:v>5</x:v>
      </x:c>
      <x:c r="G5" s="13" t="n">
        <x:v>4</x:v>
      </x:c>
      <x:c r="H5" s="13" t="n">
        <x:v>25</x:v>
      </x:c>
      <x:c r="I5" s="13" t="n">
        <x:v>25</x:v>
      </x:c>
      <x:c r="J5" s="13" t="n">
        <x:v>25</x:v>
      </x:c>
      <x:c r="K5" s="13" t="n">
        <x:v>20</x:v>
      </x:c>
      <x:c r="L5" s="13" t="n">
        <x:v>95</x:v>
      </x:c>
      <x:c r="M5" s="16" t="str">
        <x:v>매우 우수</x:v>
      </x:c>
      <x:c r="N5" s="13" t="str">
        <x:v>N</x:v>
      </x:c>
      <x:c r="O5" s="13" t="str">
        <x:v>기존 수동평가 환산: 검색정확도 5.0/5×5; 근거성 5.0/5와 환각억제 5.0/5 평균×5; 답변정확도 5.0/5×5; 실무성 4.0/5×5; 기존 메모: 발파 후 불발 의심 상황에 대해 광산안전기술기준, 광산안전법 시행규칙, 광산안전업무 처리지침이 적절히 검색되었다. 답변은 작업자 임의 접근 금지, 위험구역 출입통제, 대피 유지, 발파 책임자 또는 안전관리자 확인, 불발 확인 전 굴진·정리 작업 금지, 후가스·메탄가스·낙반·부석 등 추가 위험 확인, 보고 및 기록 필요성을 제시하여 실무성이 높다. 발파·불발 검색 보정 이후 광산 특화 문서가 우선 검색되어 검색정확도와 근거성이 크게 향상되었다.; 기존 수동평가 점수가 모두 확인되어 표준 환산 완료</x:v>
      </x:c>
    </x:row>
    <x:row r="6" ht="42" customHeight="1">
      <x:c r="A6" s="13" t="str">
        <x:v>Q005</x:v>
      </x:c>
      <x:c r="B6" s="13" t="str">
        <x:v>환기</x:v>
      </x:c>
      <x:c r="C6" s="13" t="n">
        <x:v>3</x:v>
      </x:c>
      <x:c r="D6" s="13" t="n">
        <x:v>4</x:v>
      </x:c>
      <x:c r="E6" s="13" t="n">
        <x:v>3</x:v>
      </x:c>
      <x:c r="F6" s="13" t="n">
        <x:v>5</x:v>
      </x:c>
      <x:c r="G6" s="13" t="n">
        <x:v>4</x:v>
      </x:c>
      <x:c r="H6" s="13" t="n">
        <x:v>15</x:v>
      </x:c>
      <x:c r="I6" s="13" t="n">
        <x:v>20</x:v>
      </x:c>
      <x:c r="J6" s="13" t="n">
        <x:v>20</x:v>
      </x:c>
      <x:c r="K6" s="13" t="n">
        <x:v>20</x:v>
      </x:c>
      <x:c r="L6" s="13" t="n">
        <x:v>75</x:v>
      </x:c>
      <x:c r="M6" s="16" t="str">
        <x:v>보통</x:v>
      </x:c>
      <x:c r="N6" s="13" t="str">
        <x:v>Y</x:v>
      </x:c>
      <x:c r="O6" s="13" t="str">
        <x:v>기존 수동평가 환산: 검색정확도 3.0/5×5; 근거성 3.0/5와 환각억제 5.0/5 평균×5; 답변정확도 4.0/5×5; 실무성 4.0/5×5; 기존 메모: 갱내 작업 전 환기 상태 확인 질문에 대해 시스템은 환기/유해가스 유형으로 적절히 분류하고, 작업중지, 대피, 메탄·산소·일산화탄소 측정, 환기설비 상태 확인, 측정 결과 확인 후 작업 재개 판단 등 기본적인 현장 조치를 제시하였다. 다만 검색된 근거 문서가 산업안전보건법과 산업안전보건법 시행규칙 위주로 나타나, 갱내 환기와 유해가스 관리에 직접적인 광산안전기술기준이나 광산안전업무 처리지침이 상위에 검색되지 않은 점은 아쉽다. 따라서 답변의 방향성과 실무성은 양호하지만 검색정확도와 근거성은 일부 감점하였다.; 총점 80점 미만 또는 세부 기준 15점 미만으로 수동 검토 권장</x:v>
      </x:c>
    </x:row>
    <x:row r="7" ht="42" customHeight="1">
      <x:c r="A7" s="13" t="str">
        <x:v>Q006</x:v>
      </x:c>
      <x:c r="B7" s="13" t="str">
        <x:v>환기/비상</x:v>
      </x:c>
      <x:c r="C7" s="13" t="n">
        <x:v>5</x:v>
      </x:c>
      <x:c r="D7" s="13" t="n">
        <x:v>5</x:v>
      </x:c>
      <x:c r="E7" s="13" t="n">
        <x:v>4</x:v>
      </x:c>
      <x:c r="F7" s="13" t="n">
        <x:v>5</x:v>
      </x:c>
      <x:c r="G7" s="13" t="n">
        <x:v>5</x:v>
      </x:c>
      <x:c r="H7" s="13" t="n">
        <x:v>25</x:v>
      </x:c>
      <x:c r="I7" s="13" t="n">
        <x:v>23</x:v>
      </x:c>
      <x:c r="J7" s="13" t="n">
        <x:v>25</x:v>
      </x:c>
      <x:c r="K7" s="13" t="n">
        <x:v>25</x:v>
      </x:c>
      <x:c r="L7" s="13" t="n">
        <x:v>98</x:v>
      </x:c>
      <x:c r="M7" s="16" t="str">
        <x:v>매우 우수</x:v>
      </x:c>
      <x:c r="N7" s="13" t="str">
        <x:v>N</x:v>
      </x:c>
      <x:c r="O7" s="13" t="str">
        <x:v>기존 수동평가 환산: 검색정확도 5.0/5×5; 근거성 4.0/5와 환각억제 5.0/5 평균×5; 답변정확도 5.0/5×5; 실무성 5.0/5×5; 기존 메모: 정전으로 주 환기설비가 정지된 상황에 대해 시스템은 환기/유해가스 유형으로 적절히 분류하고, 작업중지, 작업자 대피, 메탄·산소·일산화탄소 측정, 환기설비 상태 확인, 재측정 결과 확인 후 작업 재개 판단 등 핵심 조치를 제시하였다. 검색 결과도 광산안전기술기준, 광산안전법 시행령, 광산안전업무 처리지침 등 광산 특화 문서 중심으로 나타나 검색정확도와 실무성이 높다. 다만 세부 기준값이나 조항과 답변 내용의 직접 연결은 일부 부족하여 근거성은 4점으로 평가하였다.; 기존 수동평가 점수가 모두 확인되어 표준 환산 완료</x:v>
      </x:c>
    </x:row>
    <x:row r="8" ht="42" customHeight="1">
      <x:c r="A8" s="13" t="str">
        <x:v>Q007</x:v>
      </x:c>
      <x:c r="B8" s="13" t="str">
        <x:v>유해가스</x:v>
      </x:c>
      <x:c r="C8" s="13" t="n">
        <x:v>5</x:v>
      </x:c>
      <x:c r="D8" s="13" t="n">
        <x:v>5</x:v>
      </x:c>
      <x:c r="E8" s="13" t="n">
        <x:v>5</x:v>
      </x:c>
      <x:c r="F8" s="13" t="n">
        <x:v>5</x:v>
      </x:c>
      <x:c r="G8" s="13" t="n">
        <x:v>4</x:v>
      </x:c>
      <x:c r="H8" s="13" t="n">
        <x:v>25</x:v>
      </x:c>
      <x:c r="I8" s="13" t="n">
        <x:v>25</x:v>
      </x:c>
      <x:c r="J8" s="13" t="n">
        <x:v>25</x:v>
      </x:c>
      <x:c r="K8" s="13" t="n">
        <x:v>20</x:v>
      </x:c>
      <x:c r="L8" s="13" t="n">
        <x:v>95</x:v>
      </x:c>
      <x:c r="M8" s="16" t="str">
        <x:v>매우 우수</x:v>
      </x:c>
      <x:c r="N8" s="13" t="str">
        <x:v>N</x:v>
      </x:c>
      <x:c r="O8" s="13" t="str">
        <x:v>기존 수동평가 환산: 검색정확도 5.0/5×5; 근거성 5.0/5와 환각억제 5.0/5 평균×5; 답변정확도 5.0/5×5; 실무성 4.0/5×5; 기존 메모: 메탄가스 농도 상승 상황에 대해 시스템은 환기/유해가스 유형으로 적절히 분류하고, 작업중지, 작업자 대피, 메탄·산소·일산화탄소 측정, 환기설비 상태 확인, 재측정 결과 확인 후 작업 재개 판단 등 핵심 조치를 제시하였다. 검색 결과도 광산안전기술기준과 광산안전업무 처리지침 중심으로 나타나 갱내 유해가스 관리와 직접적인 관련성이 높다. 다만 메탄 농도 기준 초과 시 전기설비 조작 제한, 점화원 차단, 재진입 승인 절차가 더 구체적으로 제시되면 실무성이 더욱 향상될 수 있다.; 기존 수동평가 점수가 모두 확인되어 표준 환산 완료</x:v>
      </x:c>
    </x:row>
    <x:row r="9" ht="42" customHeight="1">
      <x:c r="A9" s="13" t="str">
        <x:v>Q008</x:v>
      </x:c>
      <x:c r="B9" s="13" t="str">
        <x:v>유해가스/산소결핍</x:v>
      </x:c>
      <x:c r="C9" s="13" t="n">
        <x:v>5</x:v>
      </x:c>
      <x:c r="D9" s="13" t="n">
        <x:v>5</x:v>
      </x:c>
      <x:c r="E9" s="13" t="n">
        <x:v>5</x:v>
      </x:c>
      <x:c r="F9" s="13" t="n">
        <x:v>5</x:v>
      </x:c>
      <x:c r="G9" s="13" t="n">
        <x:v>4</x:v>
      </x:c>
      <x:c r="H9" s="13" t="n">
        <x:v>25</x:v>
      </x:c>
      <x:c r="I9" s="13" t="n">
        <x:v>25</x:v>
      </x:c>
      <x:c r="J9" s="13" t="n">
        <x:v>25</x:v>
      </x:c>
      <x:c r="K9" s="13" t="n">
        <x:v>20</x:v>
      </x:c>
      <x:c r="L9" s="13" t="n">
        <x:v>95</x:v>
      </x:c>
      <x:c r="M9" s="16" t="str">
        <x:v>매우 우수</x:v>
      </x:c>
      <x:c r="N9" s="13" t="str">
        <x:v>N</x:v>
      </x:c>
      <x:c r="O9" s="13" t="str">
        <x:v>기존 수동평가 환산: 검색정확도 5.0/5×5; 근거성 5.0/5와 환각억제 5.0/5 평균×5; 답변정확도 5.0/5×5; 실무성 4.0/5×5; 기존 메모: 메탄가스 농도 상승 상황에 대해 시스템은 환기/유해가스 유형으로 적절히 분류하고, 작업중지, 작업자 대피, 메탄·산소·일산화탄소 측정, 환기설비 상태 확인, 재측정 결과 확인 후 작업 재개 판단 등 핵심 조치를 제시하였다. 검색 결과도 광산안전기술기준과 광산안전업무 처리지침 중심으로 나타나 갱내 유해가스 관리와 직접적인 관련성이 높다. 다만 점화원 차단, 전기설비 조작 제한, 위험구역 출입통제, 책임자 승인 후 재진입 절차가 더 구체적으로 제시되면 실무성이 더욱 향상될 수 있다.; 기존 수동평가 점수가 모두 확인되어 표준 환산 완료</x:v>
      </x:c>
    </x:row>
    <x:row r="10" ht="42" customHeight="1">
      <x:c r="A10" s="13" t="str">
        <x:v>Q009</x:v>
      </x:c>
      <x:c r="B10" s="13" t="str">
        <x:v>운반차량</x:v>
      </x:c>
      <x:c r="C10" s="13" t="n">
        <x:v>5</x:v>
      </x:c>
      <x:c r="D10" s="13" t="n">
        <x:v>4</x:v>
      </x:c>
      <x:c r="E10" s="13" t="n">
        <x:v>5</x:v>
      </x:c>
      <x:c r="F10" s="13" t="n">
        <x:v>5</x:v>
      </x:c>
      <x:c r="G10" s="13" t="n">
        <x:v>4</x:v>
      </x:c>
      <x:c r="H10" s="13" t="n">
        <x:v>25</x:v>
      </x:c>
      <x:c r="I10" s="13" t="n">
        <x:v>25</x:v>
      </x:c>
      <x:c r="J10" s="13" t="n">
        <x:v>20</x:v>
      </x:c>
      <x:c r="K10" s="13" t="n">
        <x:v>20</x:v>
      </x:c>
      <x:c r="L10" s="13" t="n">
        <x:v>90</x:v>
      </x:c>
      <x:c r="M10" s="16" t="str">
        <x:v>매우 우수</x:v>
      </x:c>
      <x:c r="N10" s="13" t="str">
        <x:v>N</x:v>
      </x:c>
      <x:c r="O10" s="13" t="str">
        <x:v>기존 수동평가 환산: 검색정확도 5.0/5×5; 근거성 5.0/5와 환각억제 5.0/5 평균×5; 답변정확도 4.0/5×5; 실무성 4.0/5×5; 기존 메모: 폐갱도 인근 산소 농도 저하 및 일산화탄소 가능성 상황에 대해 시스템은 환기/유해가스 유형으로 적절히 분류하고, 작업중지, 작업자 대피, 메탄·산소·일산화탄소 측정, 환기설비 상태 확인, 측정 결과 확인 후 작업 투입 또는 재개 판단 등 핵심 조치를 제시하였다. 검색 결과도 광산안전법 시행규칙, 광산안전업무 처리지침, 광산안전기술기준 등 광산 특화 문서 중심으로 나타나 근거성이 높다. 다만 폐갱도 인근 출입통제, 산소농도 기준 확인, 일산화탄소 측정 결과 기록, 구조·구급 대비 절차가 더 구체적으로 제시되면 실무성이 더욱 향상될 수 있다.; 기존 수동평가 점수가 모두 확인되어 표준 환산 완료</x:v>
      </x:c>
    </x:row>
    <x:row r="11" ht="42" customHeight="1">
      <x:c r="A11" s="13" t="str">
        <x:v>Q010</x:v>
      </x:c>
      <x:c r="B11" s="13" t="str">
        <x:v>운반차량/경사로</x:v>
      </x:c>
      <x:c r="C11" s="13" t="n">
        <x:v>5</x:v>
      </x:c>
      <x:c r="D11" s="13" t="n">
        <x:v>4</x:v>
      </x:c>
      <x:c r="E11" s="13" t="n">
        <x:v>4</x:v>
      </x:c>
      <x:c r="F11" s="13" t="n">
        <x:v>5</x:v>
      </x:c>
      <x:c r="G11" s="13" t="n">
        <x:v>4</x:v>
      </x:c>
      <x:c r="H11" s="13" t="n">
        <x:v>25</x:v>
      </x:c>
      <x:c r="I11" s="13" t="n">
        <x:v>23</x:v>
      </x:c>
      <x:c r="J11" s="13" t="n">
        <x:v>20</x:v>
      </x:c>
      <x:c r="K11" s="13" t="n">
        <x:v>20</x:v>
      </x:c>
      <x:c r="L11" s="13" t="n">
        <x:v>88</x:v>
      </x:c>
      <x:c r="M11" s="16" t="str">
        <x:v>우수</x:v>
      </x:c>
      <x:c r="N11" s="13" t="str">
        <x:v>N</x:v>
      </x:c>
      <x:c r="O11" s="13" t="str">
        <x:v>기존 수동평가 환산: 검색정확도 5.0/5×5; 근거성 4.0/5와 환각억제 5.0/5 평균×5; 답변정확도 4.0/5×5; 실무성 4.0/5×5; 기존 메모: 장비 운전·정비 또는 운반 위험 상황에 대해 시스템은 장비/운반 유형으로 적절히 분류하고, 전원 차단, 에너지 격리, 임의가동 방지, 접근 통제, 정비 또는 운반 작업 재개 전 장비 상태와 작업자 위치 확인 등 기본적인 현장 조치를 제시하였다. 검색 결과도 광산안전기술기준, 광산안전법 시행령, 위험성평가 안내서가 포함되어 관련성이 높다. 다만 정비 중 끼임 방지, 잠금표지 절차, 작업반경 통제, 신호수 배치, 장비 재가동 승인 절차가 더 구체적으로 제시되면 실무성과 근거성이 더욱 향상될 수 있다.; 기존 수동평가 점수가 모두 확인되어 표준 환산 완료</x:v>
      </x:c>
    </x:row>
    <x:row r="12" ht="42" customHeight="1">
      <x:c r="A12" s="13" t="str">
        <x:v>Q011</x:v>
      </x:c>
      <x:c r="B12" s="13" t="str">
        <x:v>장비정비</x:v>
      </x:c>
      <x:c r="C12" s="13" t="n">
        <x:v>5</x:v>
      </x:c>
      <x:c r="D12" s="13" t="n">
        <x:v>4</x:v>
      </x:c>
      <x:c r="E12" s="13" t="n">
        <x:v>4</x:v>
      </x:c>
      <x:c r="F12" s="13" t="n">
        <x:v>5</x:v>
      </x:c>
      <x:c r="G12" s="13" t="n">
        <x:v>4</x:v>
      </x:c>
      <x:c r="H12" s="13" t="n">
        <x:v>25</x:v>
      </x:c>
      <x:c r="I12" s="13" t="n">
        <x:v>23</x:v>
      </x:c>
      <x:c r="J12" s="13" t="n">
        <x:v>20</x:v>
      </x:c>
      <x:c r="K12" s="13" t="n">
        <x:v>20</x:v>
      </x:c>
      <x:c r="L12" s="13" t="n">
        <x:v>88</x:v>
      </x:c>
      <x:c r="M12" s="16" t="str">
        <x:v>우수</x:v>
      </x:c>
      <x:c r="N12" s="13" t="str">
        <x:v>N</x:v>
      </x:c>
      <x:c r="O12" s="13" t="str">
        <x:v>기존 수동평가 환산: 검색정확도 5.0/5×5; 근거성 4.0/5와 환각억제 5.0/5 평균×5; 답변정확도 4.0/5×5; 실무성 4.0/5×5; 기존 메모: 경사 갱도에서 광차 또는 운반장비 미끄러짐 위험이 있는 상황에 대해 시스템은 장비/운반 유형으로 적절히 분류하고, 접근통제, 작업자 위치 확인, 장비 상태 확인, 임의가동 방지 등 기본적인 현장 조치를 제시하였다. 검색 결과도 광산안전기술기준, 광산안전법 시행령, 위험성평가 안내서가 포함되어 관련성이 높다. 다만 경사 갱도 특화 점검 항목인 제동장치, 레일·궤도 상태, 차륜·연결장치, 경사 구간 정지장치, 적재 상태, 신호수 배치 등이 더 구체적으로 제시되면 실무성이 더욱 향상될 수 있다.; 기존 수동평가 점수가 모두 확인되어 표준 환산 완료</x:v>
      </x:c>
    </x:row>
    <x:row r="13" ht="42" customHeight="1">
      <x:c r="A13" s="13" t="str">
        <x:v>Q012</x:v>
      </x:c>
      <x:c r="B13" s="13" t="str">
        <x:v>장비정비/전기</x:v>
      </x:c>
      <x:c r="C13" s="13" t="n">
        <x:v>5</x:v>
      </x:c>
      <x:c r="D13" s="13" t="n">
        <x:v>5</x:v>
      </x:c>
      <x:c r="E13" s="13" t="n">
        <x:v>4</x:v>
      </x:c>
      <x:c r="F13" s="13" t="n">
        <x:v>5</x:v>
      </x:c>
      <x:c r="G13" s="13" t="n">
        <x:v>5</x:v>
      </x:c>
      <x:c r="H13" s="13" t="n">
        <x:v>25</x:v>
      </x:c>
      <x:c r="I13" s="13" t="n">
        <x:v>23</x:v>
      </x:c>
      <x:c r="J13" s="13" t="n">
        <x:v>25</x:v>
      </x:c>
      <x:c r="K13" s="13" t="n">
        <x:v>25</x:v>
      </x:c>
      <x:c r="L13" s="13" t="n">
        <x:v>98</x:v>
      </x:c>
      <x:c r="M13" s="16" t="str">
        <x:v>매우 우수</x:v>
      </x:c>
      <x:c r="N13" s="13" t="str">
        <x:v>N</x:v>
      </x:c>
      <x:c r="O13" s="13" t="str">
        <x:v>기존 수동평가 환산: 검색정확도 5.0/5×5; 근거성 4.0/5와 환각억제 5.0/5 평균×5; 답변정확도 5.0/5×5; 실무성 5.0/5×5; 기존 메모: 갱내 전기설비 점검 중 습기와 누전 우려가 있는 상황에 대해 시스템은 전기안전 유형으로 적절히 분류하고, 전원 차단, 무전압 확인, 잠금·표지 또는 임의 투입 방지, 접지 상태 확인, 절연상태 확인, 누전차단기 작동 여부 확인, 습기·물기 제거, 케이블·배선 손상 확인, 보호구 착용, 책임자 확인 후 작업 재개 등 감전 예방 조치를 구체적으로 제시하였다. 검색 결과도 광산안전기술기준, 광산안전법 시행령, 광산안전업무 처리지침이 포함되어 이전 테스트보다 검색정확도와 답변정확도가 개선되었다. 다만 세부 조항과 답변 내용의 직접 연결성은 일부 부족하여 근거성은 4점으로 평가하였다.; 기존 수동평가 점수가 모두 확인되어 표준 환산 완료</x:v>
      </x:c>
    </x:row>
    <x:row r="14" ht="42" customHeight="1">
      <x:c r="A14" s="13" t="str">
        <x:v>Q013</x:v>
      </x:c>
      <x:c r="B14" s="13" t="str">
        <x:v>보호구</x:v>
      </x:c>
      <x:c r="C14" s="13" t="n">
        <x:v>3</x:v>
      </x:c>
      <x:c r="D14" s="13" t="n">
        <x:v>3</x:v>
      </x:c>
      <x:c r="E14" s="13" t="n">
        <x:v>3</x:v>
      </x:c>
      <x:c r="F14" s="13" t="n">
        <x:v>5</x:v>
      </x:c>
      <x:c r="G14" s="13" t="n">
        <x:v>3</x:v>
      </x:c>
      <x:c r="H14" s="13" t="n">
        <x:v>15</x:v>
      </x:c>
      <x:c r="I14" s="13" t="n">
        <x:v>20</x:v>
      </x:c>
      <x:c r="J14" s="13" t="n">
        <x:v>15</x:v>
      </x:c>
      <x:c r="K14" s="13" t="n">
        <x:v>15</x:v>
      </x:c>
      <x:c r="L14" s="13" t="n">
        <x:v>65</x:v>
      </x:c>
      <x:c r="M14" s="16" t="str">
        <x:v>보완 필요</x:v>
      </x:c>
      <x:c r="N14" s="13" t="str">
        <x:v>Y</x:v>
      </x:c>
      <x:c r="O14" s="13" t="str">
        <x:v>기존 수동평가 환산: 검색정확도 3.0/5×5; 근거성 3.0/5와 환각억제 5.0/5 평균×5; 답변정확도 3.0/5×5; 실무성 3.0/5×5; 기존 메모: 안전모와 방진마스크를 착용하지 않은 작업자의 갱내 작업장 출입 상황에 대해 시스템은 일반 광산 안전 유형으로 분류하고, 작업중지, 출입통제, 책임자 확인 등 일반적인 안전 조치를 제시하였다. 그러나 질문의 핵심인 보호구 미착용, 안전모 착용 확인, 방진마스크 착용 확인, 보호구 지급 및 착용 관리, 작업 투입 금지, 교육 및 기록 등의 조치가 충분히 구체적으로 제시되지 않았다. 검색 결과도 위험성평가 안내서, 안전보건관리체계 구축 가이드북, 산업안전보건법 위주로 나타나 보호구 관련 직접 근거가 부족하였다. 따라서 검색정확도, 답변정확도, 근거성, 실무성을 일부 감점하였다.; 총점 80점 미만 또는 세부 기준 15점 미만으로 수동 검토 권장</x:v>
      </x:c>
    </x:row>
    <x:row r="15" ht="42" customHeight="1">
      <x:c r="A15" s="13" t="str">
        <x:v>Q014</x:v>
      </x:c>
      <x:c r="B15" s="13" t="str">
        <x:v>보호구/호흡보호</x:v>
      </x:c>
      <x:c r="C15" s="13" t="n">
        <x:v>3</x:v>
      </x:c>
      <x:c r="D15" s="13" t="n">
        <x:v>2</x:v>
      </x:c>
      <x:c r="E15" s="13" t="n">
        <x:v>3</x:v>
      </x:c>
      <x:c r="F15" s="13" t="n">
        <x:v>5</x:v>
      </x:c>
      <x:c r="G15" s="13" t="n">
        <x:v>2</x:v>
      </x:c>
      <x:c r="H15" s="13" t="n">
        <x:v>15</x:v>
      </x:c>
      <x:c r="I15" s="13" t="n">
        <x:v>20</x:v>
      </x:c>
      <x:c r="J15" s="13" t="n">
        <x:v>10</x:v>
      </x:c>
      <x:c r="K15" s="13" t="n">
        <x:v>10</x:v>
      </x:c>
      <x:c r="L15" s="13" t="n">
        <x:v>55</x:v>
      </x:c>
      <x:c r="M15" s="16" t="str">
        <x:v>미흡</x:v>
      </x:c>
      <x:c r="N15" s="13" t="str">
        <x:v>Y</x:v>
      </x:c>
      <x:c r="O15" s="13" t="str">
        <x:v>기존 수동평가 환산: 검색정확도 3.0/5×5; 근거성 3.0/5와 환각억제 5.0/5 평균×5; 답변정확도 2.0/5×5; 실무성 2.0/5×5; 기존 메모: 분진이 많은 굴진 작업에서 방진마스크 지급 및 착용 상태 확인 기준을 묻는 질문이었으나, 시스템은 이를 보호구/PPE 또는 분진 작업이 아니라 발파/불발 유형으로 분류하였다. 답변은 불발 의심 장소 접근 금지, 위험구역 출입통제, 발파 책임자 확인 등 발파 관련 조치 위주로 제시되어 질문의 핵심인 방진마스크, 호흡보호구 지급, 보호구 적합성, 착용 상태 확인, 착용 교육 및 기록 관리가 충분히 반영되지 않았다. 검색 문서는 광산안전기술기준과 광산안전업무 처리지침 등 광산 특화 문서가 포함되었으나 보호구 관련 직접 근거로는 부족하여 검색정확도와 근거성을 일부 감점하였다.; 총점 80점 미만 또는 세부 기준 15점 미만으로 수동 검토 권장</x:v>
      </x:c>
    </x:row>
    <x:row r="16" ht="42" customHeight="1">
      <x:c r="A16" s="13" t="str">
        <x:v>Q015</x:v>
      </x:c>
      <x:c r="B16" s="13" t="str">
        <x:v>안전교육</x:v>
      </x:c>
      <x:c r="C16" s="13" t="n">
        <x:v>5</x:v>
      </x:c>
      <x:c r="D16" s="13" t="n">
        <x:v>4</x:v>
      </x:c>
      <x:c r="E16" s="13" t="n">
        <x:v>5</x:v>
      </x:c>
      <x:c r="F16" s="13" t="n">
        <x:v>5</x:v>
      </x:c>
      <x:c r="G16" s="13" t="n">
        <x:v>4</x:v>
      </x:c>
      <x:c r="H16" s="13" t="n">
        <x:v>25</x:v>
      </x:c>
      <x:c r="I16" s="13" t="n">
        <x:v>25</x:v>
      </x:c>
      <x:c r="J16" s="13" t="n">
        <x:v>20</x:v>
      </x:c>
      <x:c r="K16" s="13" t="n">
        <x:v>20</x:v>
      </x:c>
      <x:c r="L16" s="13" t="n">
        <x:v>90</x:v>
      </x:c>
      <x:c r="M16" s="16" t="str">
        <x:v>매우 우수</x:v>
      </x:c>
      <x:c r="N16" s="13" t="str">
        <x:v>N</x:v>
      </x:c>
      <x:c r="O16" s="13" t="str">
        <x:v>기존 수동평가 환산: 검색정확도 5.0/5×5; 근거성 5.0/5와 환각억제 5.0/5 평균×5; 답변정확도 4.0/5×5; 실무성 4.0/5×5; 기존 메모: 신규 작업자를 갱내 작업에 투입하기 전 필요한 광산 안전교육 항목에 대해 광산안전법, 광산안전기술기준, 광산안전법 시행령이 적절히 검색되었다. 검색 근거에는 광산안전교육 이수, 교육 기록 보존, 광산안전기준, 광산근로자 준수사항, 전기·기계설비, 광해 방지, 광산안전 관련 사항 등이 포함되어 질문과의 관련성이 높다. 다만 답변이 신규 작업자 교육 항목을 낙반, 환기·유해가스, 발파, 운반장비, 보호구, 비상대피, 보고절차 등으로 더 체계적으로 구분해 제시하면 실무성이 더욱 향상될 수 있다.; 기존 수동평가 점수가 모두 확인되어 표준 환산 완료</x:v>
      </x:c>
    </x:row>
    <x:row r="17" ht="42" customHeight="1">
      <x:c r="A17" s="13" t="str">
        <x:v>Q016</x:v>
      </x:c>
      <x:c r="B17" s="13" t="str">
        <x:v>안전교육/특별작업</x:v>
      </x:c>
      <x:c r="C17" s="13" t="n">
        <x:v>5</x:v>
      </x:c>
      <x:c r="D17" s="13" t="n">
        <x:v>4</x:v>
      </x:c>
      <x:c r="E17" s="13" t="n">
        <x:v>5</x:v>
      </x:c>
      <x:c r="F17" s="13" t="n">
        <x:v>5</x:v>
      </x:c>
      <x:c r="G17" s="13" t="n">
        <x:v>4</x:v>
      </x:c>
      <x:c r="H17" s="13" t="n">
        <x:v>25</x:v>
      </x:c>
      <x:c r="I17" s="13" t="n">
        <x:v>25</x:v>
      </x:c>
      <x:c r="J17" s="13" t="n">
        <x:v>20</x:v>
      </x:c>
      <x:c r="K17" s="13" t="n">
        <x:v>20</x:v>
      </x:c>
      <x:c r="L17" s="13" t="n">
        <x:v>90</x:v>
      </x:c>
      <x:c r="M17" s="16" t="str">
        <x:v>매우 우수</x:v>
      </x:c>
      <x:c r="N17" s="13" t="str">
        <x:v>N</x:v>
      </x:c>
      <x:c r="O17" s="13" t="str">
        <x:v>기존 수동평가 환산: 검색정확도 5.0/5×5; 근거성 5.0/5와 환각억제 5.0/5 평균×5; 답변정확도 4.0/5×5; 실무성 4.0/5×5; 기존 메모: 발파 보조 작업에 처음 투입되는 근로자의 특별교육 질문에 대해 광산안전법, 광산안전법 시행규칙, 광산안전기술기준이 적절히 검색되었다. 검색 근거에는 광산안전교육 이수, 교육 기록 보존, 신규 광산근로자 교육, 광산안전 관련 교육과 발파·화약류 관련 안전 기준이 포함되어 질문과의 관련성이 높다. 답변은 발파 위험, 불발 의심 시 접근 금지, 위험구역 출입통제, 대피 유지, 책임자 확인 등 실무 조치를 제시하였다. 다만 질문의 핵심이 특별교육 항목이므로 화약류 취급 금지 범위, 발파 신호, 대피 절차, 불발 대응, 보호구 착용, 보고·기록 등 교육 항목을 더 체계적인 체크리스트로 제시하면 실무성이 더욱 향상될 수 있다.; 기존 수동평가 점수가 모두 확인되어 표준 환산 완료</x:v>
      </x:c>
    </x:row>
    <x:row r="18" ht="42" customHeight="1">
      <x:c r="A18" s="13" t="str">
        <x:v>Q017</x:v>
      </x:c>
      <x:c r="B18" s="13" t="str">
        <x:v>작업중지</x:v>
      </x:c>
      <x:c r="C18" s="13" t="n">
        <x:v>4</x:v>
      </x:c>
      <x:c r="D18" s="13" t="n">
        <x:v>5</x:v>
      </x:c>
      <x:c r="E18" s="13" t="n">
        <x:v>4</x:v>
      </x:c>
      <x:c r="F18" s="13" t="n">
        <x:v>5</x:v>
      </x:c>
      <x:c r="G18" s="13" t="n">
        <x:v>5</x:v>
      </x:c>
      <x:c r="H18" s="13" t="n">
        <x:v>20</x:v>
      </x:c>
      <x:c r="I18" s="13" t="n">
        <x:v>23</x:v>
      </x:c>
      <x:c r="J18" s="13" t="n">
        <x:v>25</x:v>
      </x:c>
      <x:c r="K18" s="13" t="n">
        <x:v>25</x:v>
      </x:c>
      <x:c r="L18" s="13" t="n">
        <x:v>93</x:v>
      </x:c>
      <x:c r="M18" s="16" t="str">
        <x:v>매우 우수</x:v>
      </x:c>
      <x:c r="N18" s="13" t="str">
        <x:v>N</x:v>
      </x:c>
      <x:c r="O18" s="13" t="str">
        <x:v>기존 수동평가 환산: 검색정확도 4.0/5×5; 근거성 4.0/5와 환각억제 5.0/5 평균×5; 답변정확도 5.0/5×5; 실무성 5.0/5×5; 기존 메모: 유해가스 경보 발생 후 일부 작업자가 마무리 작업을 하겠다고 하는 상황에 대해 시스템은 환기/유해가스 유형으로 적절히 분류하고, 작업중지, 작업자 대피, 메탄·산소·일산화탄소 측정, 환기설비 상태 확인, 재측정 결과 확인 후 작업 재개 판단 등 핵심 조치를 제시하였다. 특히 유해가스 경보 상황에서 마무리 작업보다 작업중지와 대피를 우선해야 한다는 방향이 명확하다. 검색 결과에 광산안전기술기준이 포함되어 직접 관련성이 있으나, 나머지 근거가 산업안전보건법과 위험성평가 안내서 위주라 광산안전업무 처리지침이나 광산안전법 시행규칙이 함께 검색되면 근거성이 더 높아질 수 있다.; 기존 수동평가 점수가 모두 확인되어 표준 환산 완료</x:v>
      </x:c>
    </x:row>
    <x:row r="19" ht="42" customHeight="1">
      <x:c r="A19" s="13" t="str">
        <x:v>Q018</x:v>
      </x:c>
      <x:c r="B19" s="13" t="str">
        <x:v>작업중지/재개</x:v>
      </x:c>
      <x:c r="C19" s="13" t="n">
        <x:v>3</x:v>
      </x:c>
      <x:c r="D19" s="13" t="n">
        <x:v>4</x:v>
      </x:c>
      <x:c r="E19" s="13" t="n">
        <x:v>3</x:v>
      </x:c>
      <x:c r="F19" s="13" t="n">
        <x:v>5</x:v>
      </x:c>
      <x:c r="G19" s="13" t="n">
        <x:v>4</x:v>
      </x:c>
      <x:c r="H19" s="13" t="n">
        <x:v>15</x:v>
      </x:c>
      <x:c r="I19" s="13" t="n">
        <x:v>20</x:v>
      </x:c>
      <x:c r="J19" s="13" t="n">
        <x:v>20</x:v>
      </x:c>
      <x:c r="K19" s="13" t="n">
        <x:v>20</x:v>
      </x:c>
      <x:c r="L19" s="13" t="n">
        <x:v>75</x:v>
      </x:c>
      <x:c r="M19" s="16" t="str">
        <x:v>보통</x:v>
      </x:c>
      <x:c r="N19" s="13" t="str">
        <x:v>Y</x:v>
      </x:c>
      <x:c r="O19" s="13" t="str">
        <x:v>기존 수동평가 환산: 검색정확도 3.0/5×5; 근거성 3.0/5와 환각억제 5.0/5 평균×5; 답변정확도 4.0/5×5; 실무성 4.0/5×5; 기존 메모: 낙반 위험으로 작업을 중지한 뒤 재작업을 시작하기 위한 확인과 승인 절차에 대해 시스템은 낙반/붕락 유형으로 적절히 분류하고, 작업중지 유지, 출입통제, 근로자 대피, 천반 균열·부석·낙석 위험 확인, 지보공 변형·손상 확인, 안전관리자 또는 책임자 확인 후 작업 재개 판단 등 기본적인 현장 조치를 제시하였다. 다만 검색 결과가 산업안전보건법 시행규칙 위주로 나타나 낙반·붕락 및 갱내 작업 재개와 직접 관련성이 높은 광산안전기술기준이나 광산안전법 시행규칙이 충분히 검색되지 않은 점은 아쉽다. 따라서 답변의 방향성과 실무성은 양호하지만 검색정확도와 근거성은 일부 감점하였다.; 총점 80점 미만 또는 세부 기준 15점 미만으로 수동 검토 권장</x:v>
      </x:c>
    </x:row>
    <x:row r="20" ht="42" customHeight="1">
      <x:c r="A20" s="13" t="str">
        <x:v>Q019</x:v>
      </x:c>
      <x:c r="B20" s="13" t="str">
        <x:v>사고보고</x:v>
      </x:c>
      <x:c r="C20" s="13" t="n">
        <x:v>3</x:v>
      </x:c>
      <x:c r="D20" s="13" t="n">
        <x:v>2</x:v>
      </x:c>
      <x:c r="E20" s="13" t="n">
        <x:v>3</x:v>
      </x:c>
      <x:c r="F20" s="13" t="n">
        <x:v>5</x:v>
      </x:c>
      <x:c r="G20" s="13" t="n">
        <x:v>2</x:v>
      </x:c>
      <x:c r="H20" s="13" t="n">
        <x:v>15</x:v>
      </x:c>
      <x:c r="I20" s="13" t="n">
        <x:v>20</x:v>
      </x:c>
      <x:c r="J20" s="13" t="n">
        <x:v>10</x:v>
      </x:c>
      <x:c r="K20" s="13" t="n">
        <x:v>10</x:v>
      </x:c>
      <x:c r="L20" s="13" t="n">
        <x:v>55</x:v>
      </x:c>
      <x:c r="M20" s="16" t="str">
        <x:v>미흡</x:v>
      </x:c>
      <x:c r="N20" s="13" t="str">
        <x:v>Y</x:v>
      </x:c>
      <x:c r="O20" s="13" t="str">
        <x:v>기존 수동평가 환산: 검색정확도 3.0/5×5; 근거성 3.0/5와 환각억제 5.0/5 평균×5; 답변정확도 2.0/5×5; 실무성 2.0/5×5; 기존 메모: 갱내 운반차량 접촉사고로 작업자가 다친 상황에 대해 시스템은 장비/운반 유형으로 분류하고, 전원 차단, 에너지 격리, 임의가동 방지, 접근통제 등 장비 위험 통제 조치를 제시하였다. 그러나 질문의 핵심은 이미 부상자가 발생한 사고 상황에서의 최초 조치와 보고 범위이므로, 부상자 응급조치, 119 또는 구급 연락, 2차 사고 방지, 현장 보존, 안전관리자·책임자 보고, 사고 기록, 재해조사, 필요 시 관계기관 신고 및 재발방지대책 수립 등이 더 직접적으로 제시되어야 한다. 검색 결과도 안전보건관리체계 구축 가이드북과 산업안전보건법 시행령 위주로 나타나, 광산안전업무 처리지침이나 광산안전법 계열의 사고보고 관련 근거가 부족하였다.; 총점 80점 미만 또는 세부 기준 15점 미만으로 수동 검토 권장</x:v>
      </x:c>
    </x:row>
    <x:row r="21" ht="42" customHeight="1">
      <x:c r="A21" s="13" t="str">
        <x:v>Q020</x:v>
      </x:c>
      <x:c r="B21" s="13" t="str">
        <x:v>사고보고/중대재해</x:v>
      </x:c>
      <x:c r="C21" s="13" t="n">
        <x:v>3</x:v>
      </x:c>
      <x:c r="D21" s="13" t="n">
        <x:v>5</x:v>
      </x:c>
      <x:c r="E21" s="13" t="n">
        <x:v>3</x:v>
      </x:c>
      <x:c r="F21" s="13" t="n">
        <x:v>5</x:v>
      </x:c>
      <x:c r="G21" s="13" t="n">
        <x:v>5</x:v>
      </x:c>
      <x:c r="H21" s="13" t="n">
        <x:v>15</x:v>
      </x:c>
      <x:c r="I21" s="13" t="n">
        <x:v>20</x:v>
      </x:c>
      <x:c r="J21" s="13" t="n">
        <x:v>25</x:v>
      </x:c>
      <x:c r="K21" s="13" t="n">
        <x:v>25</x:v>
      </x:c>
      <x:c r="L21" s="13" t="n">
        <x:v>85</x:v>
      </x:c>
      <x:c r="M21" s="16" t="str">
        <x:v>우수</x:v>
      </x:c>
      <x:c r="N21" s="13" t="str">
        <x:v>N</x:v>
      </x:c>
      <x:c r="O21" s="13" t="str">
        <x:v>기존 수동평가 환산: 검색정확도 3.0/5×5; 근거성 3.0/5와 환각억제 5.0/5 평균×5; 답변정확도 5.0/5×5; 실무성 5.0/5×5; 기존 메모: 사망 또는 중대부상 가능성이 있는 사고 발생 시 중대재해처벌법 대응 관점에서 즉시 챙겨야 할 사항에 대해 시스템은 중대재해처벌법 유형으로 적절히 분류하고, 작업중지, 인명 구조, 현장 보존, 보고 절차, 사고 원인 조사, 재발방지대책 수립, 안전보건관리체계 이행 여부 점검 등 핵심 조치를 제시하였다. 답변의 방향성과 실무성은 높으나, 검색 결과가 중대재해처벌법 및 시행령이 아니라 위험성평가 안내서와 안전보건관리체계 구축 가이드북 위주로 나타나 직접 근거성이 다소 부족하였다. 중대재해처벌법과 시행령, 산업안전보건법, 광산안전업무 처리지침이 함께 검색되면 근거성이 더 높아질 수 있다.; 기존 수동평가 점수가 모두 확인되어 표준 환산 완료</x:v>
      </x:c>
    </x:row>
    <x:row r="22" ht="42" customHeight="1">
      <x:c r="A22" s="13" t="str">
        <x:v>Q021</x:v>
      </x:c>
      <x:c r="B22" s="13" t="str">
        <x:v>중대재해처벌법 책임</x:v>
      </x:c>
      <x:c r="C22" s="13" t="n">
        <x:v>5</x:v>
      </x:c>
      <x:c r="D22" s="13" t="n">
        <x:v>4</x:v>
      </x:c>
      <x:c r="E22" s="13" t="n">
        <x:v>5</x:v>
      </x:c>
      <x:c r="F22" s="13" t="n">
        <x:v>5</x:v>
      </x:c>
      <x:c r="G22" s="13" t="n">
        <x:v>4</x:v>
      </x:c>
      <x:c r="H22" s="13" t="n">
        <x:v>25</x:v>
      </x:c>
      <x:c r="I22" s="13" t="n">
        <x:v>25</x:v>
      </x:c>
      <x:c r="J22" s="13" t="n">
        <x:v>20</x:v>
      </x:c>
      <x:c r="K22" s="13" t="n">
        <x:v>20</x:v>
      </x:c>
      <x:c r="L22" s="13" t="n">
        <x:v>90</x:v>
      </x:c>
      <x:c r="M22" s="16" t="str">
        <x:v>매우 우수</x:v>
      </x:c>
      <x:c r="N22" s="13" t="str">
        <x:v>N</x:v>
      </x:c>
      <x:c r="O22" s="13" t="str">
        <x:v>기존 수동평가 환산: 검색정확도 5.0/5×5; 근거성 5.0/5와 환각억제 5.0/5 평균×5; 답변정확도 4.0/5×5; 실무성 4.0/5×5; 기존 메모: 광산 사업장의 경영책임자가 중대재해처벌법상 안전보건 확보의무를 다하기 위해 필요한 체계를 묻는 질문에 대해 시스템은 중대재해처벌법 유형으로 적절히 분류하였다. 검색 결과도 중대재해처벌법 시행령, 안전보건관리체계 구축 가이드북, 위험성평가 안내서가 포함되어 질문과의 관련성이 높다. 특히 중대재해처벌법 시행령에서 안전보건관리체계 구축, 안전보건관리책임자 등의 업무 수행 지원, 평가 기준 마련, 예산 편성, 종사자 의견 청취, 개선조치 점검 등의 근거가 검색되어 근거성이 높다. 다만 답변에서 인력·예산, 전담조직, 유해위험요인 확인·개선, 도급관리, 비상대응, 점검·기록 등 체계 구성요소를 더 구체적인 체크리스트로 제시하면 실무성이 더욱 향상될 수 있다.; 기존 수동평가 점수가 모두 확인되어 표준 환산 완료</x:v>
      </x:c>
    </x:row>
    <x:row r="23" ht="42" customHeight="1">
      <x:c r="A23" s="13" t="str">
        <x:v>Q022</x:v>
      </x:c>
      <x:c r="B23" s="13" t="str">
        <x:v>중대재해처벌법/도급</x:v>
      </x:c>
      <x:c r="C23" s="13" t="n">
        <x:v>5</x:v>
      </x:c>
      <x:c r="D23" s="13" t="n">
        <x:v>4</x:v>
      </x:c>
      <x:c r="E23" s="13" t="n">
        <x:v>5</x:v>
      </x:c>
      <x:c r="F23" s="13" t="n">
        <x:v>5</x:v>
      </x:c>
      <x:c r="G23" s="13" t="n">
        <x:v>4</x:v>
      </x:c>
      <x:c r="H23" s="13" t="n">
        <x:v>25</x:v>
      </x:c>
      <x:c r="I23" s="13" t="n">
        <x:v>25</x:v>
      </x:c>
      <x:c r="J23" s="13" t="n">
        <x:v>20</x:v>
      </x:c>
      <x:c r="K23" s="13" t="n">
        <x:v>20</x:v>
      </x:c>
      <x:c r="L23" s="13" t="n">
        <x:v>90</x:v>
      </x:c>
      <x:c r="M23" s="16" t="str">
        <x:v>매우 우수</x:v>
      </x:c>
      <x:c r="N23" s="13" t="str">
        <x:v>N</x:v>
      </x:c>
      <x:c r="O23" s="13" t="str">
        <x:v>기존 수동평가 환산: 검색정확도 5.0/5×5; 근거성 5.0/5와 환각억제 5.0/5 평균×5; 답변정확도 4.0/5×5; 실무성 4.0/5×5; 기존 메모: 사고 발생 후 보고·조사·조치와 관련된 질문에 대해 시스템은 관련 근거로 광산안전업무 처리지침, 광산안전법 시행규칙, 안전보건관리체계 구축 가이드북을 검색하였다. 특히 광산안전업무 처리지침에서 안전명령 불이행, 재해조사 과정, 법령 위반 확인 시 조치, 재해사고 보고 및 구조활동 관련 내용이 검색되어 질문과의 직접 관련성이 높다. 다만 답변에서 현장관리자, 안전관리자, 사무소장, 관계기관 보고 등 보고 체계와 단계별 절차를 더 구체적으로 제시하면 실무성이 더욱 향상될 수 있다.; 기존 수동평가 점수가 모두 확인되어 표준 환산 완료</x:v>
      </x:c>
    </x:row>
    <x:row r="24" ht="42" customHeight="1">
      <x:c r="A24" s="13" t="str">
        <x:v>Q023</x:v>
      </x:c>
      <x:c r="B24" s="13" t="str">
        <x:v>위험성평가</x:v>
      </x:c>
      <x:c r="C24" s="13" t="n">
        <x:v>3</x:v>
      </x:c>
      <x:c r="D24" s="13" t="n">
        <x:v>2</x:v>
      </x:c>
      <x:c r="E24" s="13" t="n">
        <x:v>3</x:v>
      </x:c>
      <x:c r="F24" s="13" t="n">
        <x:v>5</x:v>
      </x:c>
      <x:c r="G24" s="13" t="n">
        <x:v>2</x:v>
      </x:c>
      <x:c r="H24" s="13" t="n">
        <x:v>15</x:v>
      </x:c>
      <x:c r="I24" s="13" t="n">
        <x:v>20</x:v>
      </x:c>
      <x:c r="J24" s="13" t="n">
        <x:v>10</x:v>
      </x:c>
      <x:c r="K24" s="13" t="n">
        <x:v>10</x:v>
      </x:c>
      <x:c r="L24" s="13" t="n">
        <x:v>55</x:v>
      </x:c>
      <x:c r="M24" s="16" t="str">
        <x:v>미흡</x:v>
      </x:c>
      <x:c r="N24" s="13" t="str">
        <x:v>Y</x:v>
      </x:c>
      <x:c r="O24" s="13" t="str">
        <x:v>기존 수동평가 환산: 검색정확도 3.0/5×5; 근거성 3.0/5와 환각억제 5.0/5 평균×5; 답변정확도 2.0/5×5; 실무성 2.0/5×5; 기존 메모: 새로운 굴진 구간 작업 시작 전 위험성평가 항목과 순서를 묻는 질문이었으나, 시스템은 이를 위험성평가 유형이 아니라 발파/불발 유형으로 분류하였다. 답변은 불발 의심 장소 접근 금지, 위험구역 출입통제, 발파 책임자 확인, 불발화약류 확인, 발파 후 재출입 기준 등 발파 관련 조치 위주로 제시되어 질문의 핵심인 유해·위험요인 파악, 위험성 결정, 감소대책 수립, 감소대책 이행, 근로자 공유, 작업 전 안전회의, 기록 및 재평가 절차가 충분히 반영되지 않았다. 검색 결과도 광산안전기술기준, 광산안전법 시행규칙, 광산안전업무 처리지침이 포함되어 광산 작업과의 관련성은 있으나, 위험성평가 안내서와 안전보건관리체계 구축 가이드북 등 위험성평가 직접 근거가 상위에 검색되지 않아 검색정확도와 근거성을 일부 감점하였다.; 총점 80점 미만 또는 세부 기준 15점 미만으로 수동 검토 권장</x:v>
      </x:c>
    </x:row>
    <x:row r="25" ht="42" customHeight="1">
      <x:c r="A25" s="13" t="str">
        <x:v>Q024</x:v>
      </x:c>
      <x:c r="B25" s="13" t="str">
        <x:v>위험성평가/수시평가</x:v>
      </x:c>
      <x:c r="C25" s="13" t="n">
        <x:v>5</x:v>
      </x:c>
      <x:c r="D25" s="13" t="n">
        <x:v>3</x:v>
      </x:c>
      <x:c r="E25" s="13" t="n">
        <x:v>5</x:v>
      </x:c>
      <x:c r="F25" s="13" t="n">
        <x:v>5</x:v>
      </x:c>
      <x:c r="G25" s="13" t="n">
        <x:v>3</x:v>
      </x:c>
      <x:c r="H25" s="13" t="n">
        <x:v>25</x:v>
      </x:c>
      <x:c r="I25" s="13" t="n">
        <x:v>25</x:v>
      </x:c>
      <x:c r="J25" s="13" t="n">
        <x:v>15</x:v>
      </x:c>
      <x:c r="K25" s="13" t="n">
        <x:v>15</x:v>
      </x:c>
      <x:c r="L25" s="13" t="n">
        <x:v>80</x:v>
      </x:c>
      <x:c r="M25" s="16" t="str">
        <x:v>우수</x:v>
      </x:c>
      <x:c r="N25" s="13" t="str">
        <x:v>N</x:v>
      </x:c>
      <x:c r="O25" s="13" t="str">
        <x:v>기존 수동평가 환산: 검색정확도 5.0/5×5; 근거성 5.0/5와 환각억제 5.0/5 평균×5; 답변정확도 3.0/5×5; 실무성 3.0/5×5; 기존 메모: 작업 방식 변경 및 신규 장비 투입 시 기존 위험성평가를 그대로 사용할 수 있는지와 추가 평가 필요성을 묻는 질문에 대해 검색 결과는 2023 새로운 위험성평가 안내서가 상위에 반복적으로 검색되어 매우 적절하였다. 검색 근거에는 기존 시행대책의 효과 검토, 추가 조치 필요 여부 판단, 위험성 감소대책 수립·시행, 위험성평가 재검토, 유해·위험요인 파악과 위험성 결정 등의 내용이 포함되어 질문과의 직접 관련성이 높다. 다만 시스템은 질문을 위험성평가 유형이 아니라 장비/운반 유형으로 분류하여 전원 차단, 에너지 격리, 임의가동 방지, 접근통제 등 장비 안전 조치 위주로 답변하였다. 따라서 검색정확도와 근거성은 높지만, 위험성평가 재실시 또는 재검토 절차, 새로운 유해·위험요인 파악, 감소대책 수립, 근로자 공유, 기록 관리 등 핵심 답변이 부족하여 답변정확도와 실무성을 일부 감점하였다.; 기존 수동평가 점수가 모두 확인되어 표준 환산 완료</x:v>
      </x:c>
    </x:row>
    <x:row r="26" ht="42" customHeight="1">
      <x:c r="A26" s="13" t="str">
        <x:v>Q025</x:v>
      </x:c>
      <x:c r="B26" s="13" t="str">
        <x:v>광산안전법</x:v>
      </x:c>
      <x:c r="C26" s="13" t="n">
        <x:v>4</x:v>
      </x:c>
      <x:c r="D26" s="13" t="n">
        <x:v>3</x:v>
      </x:c>
      <x:c r="E26" s="13" t="n">
        <x:v>4</x:v>
      </x:c>
      <x:c r="F26" s="13" t="n">
        <x:v>5</x:v>
      </x:c>
      <x:c r="G26" s="13" t="n">
        <x:v>3</x:v>
      </x:c>
      <x:c r="H26" s="13" t="n">
        <x:v>20</x:v>
      </x:c>
      <x:c r="I26" s="13" t="n">
        <x:v>23</x:v>
      </x:c>
      <x:c r="J26" s="13" t="n">
        <x:v>15</x:v>
      </x:c>
      <x:c r="K26" s="13" t="n">
        <x:v>15</x:v>
      </x:c>
      <x:c r="L26" s="13" t="n">
        <x:v>73</x:v>
      </x:c>
      <x:c r="M26" s="16" t="str">
        <x:v>보통</x:v>
      </x:c>
      <x:c r="N26" s="13" t="str">
        <x:v>Y</x:v>
      </x:c>
      <x:c r="O26" s="13" t="str">
        <x:v>기존 수동평가 환산: 검색정확도 4.0/5×5; 근거성 4.0/5와 환각억제 5.0/5 평균×5; 답변정확도 3.0/5×5; 실무성 3.0/5×5; 기존 메모: 광산안전법 관점에서 광산 관리자가 일상적으로 점검하고 기록해야 할 안전관리 사항을 묻는 질문에 대해 시스템은 광산안전업무 처리지침, 광산안전법 시행규칙, 광산안전기술기준을 검색하여 비교적 적절한 근거를 제시하였다. 검색 근거에는 위험 발생 보고, 작업 전·작업 중 작업장 검사, 천장·측벽·작업면 점검, 부석 등 위험요소 제거와 관련된 내용이 포함되어 질문과의 관련성이 있다. 다만 답변은 일반 광산 안전 유형으로 분류되어 작업중지, 출입통제, 대피 등 일반 조치 위주로 제시되었고, 일상 점검 및 기록 항목인 환기·유해가스·분진, 낙반·지보, 전기·기계·운반 설비, 보호구, 안전교육, 비상연락체계, 점검 결과 기록 및 보고 절차를 체계적으로 제시하지 못하였다. 따라서 검색정확도와 근거성은 양호하나 답변정확도와 실무성은 일부 감점하였다.; 총점 80점 미만 또는 세부 기준 15점 미만으로 수동 검토 권장</x:v>
      </x:c>
    </x:row>
    <x:row r="27" ht="42" customHeight="1">
      <x:c r="A27" s="13" t="str">
        <x:v>Q026</x:v>
      </x:c>
      <x:c r="B27" s="13" t="str">
        <x:v>광산안전기술기준</x:v>
      </x:c>
      <x:c r="C27" s="13" t="n">
        <x:v>5</x:v>
      </x:c>
      <x:c r="D27" s="13" t="n">
        <x:v>3</x:v>
      </x:c>
      <x:c r="E27" s="13" t="n">
        <x:v>4</x:v>
      </x:c>
      <x:c r="F27" s="13" t="n">
        <x:v>5</x:v>
      </x:c>
      <x:c r="G27" s="13" t="n">
        <x:v>3</x:v>
      </x:c>
      <x:c r="H27" s="13" t="n">
        <x:v>25</x:v>
      </x:c>
      <x:c r="I27" s="13" t="n">
        <x:v>23</x:v>
      </x:c>
      <x:c r="J27" s="13" t="n">
        <x:v>15</x:v>
      </x:c>
      <x:c r="K27" s="13" t="n">
        <x:v>15</x:v>
      </x:c>
      <x:c r="L27" s="13" t="n">
        <x:v>78</x:v>
      </x:c>
      <x:c r="M27" s="16" t="str">
        <x:v>보통</x:v>
      </x:c>
      <x:c r="N27" s="13" t="str">
        <x:v>Y</x:v>
      </x:c>
      <x:c r="O27" s="13" t="str">
        <x:v>기존 수동평가 환산: 검색정확도 5.0/5×5; 근거성 4.0/5와 환각억제 5.0/5 평균×5; 답변정확도 3.0/5×5; 실무성 3.0/5×5; 기존 메모: 갱내 통로, 조명, 표지판, 대피로를 점검할 때 광산안전기술기준상 확인해야 할 요소를 묻는 질문에 대해 시스템은 광산안전기술기준, 광산안전법 시행령, 광산안전법 시행규칙을 검색하여 관련성이 높은 근거를 제시하였다. 검색 근거에는 조명 또는 안내표지 설치, 경사지역 위험표시, 주요 통행장소와 운반갱도 순회 점검, 위험성 유무 검사, 점검 결과 기록 등이 포함되어 질문과의 관련성이 높다. 다만 시스템은 질문을 통행·표지·대피로 점검 유형이 아니라 전기안전 유형으로 분류하여 전원 차단, 무전압 확인, 접지·절연·누전차단기, 케이블 점검 등 감전 예방 조치 위주로 답변하였다. 따라서 검색정확도는 높지만, 질문의 핵심인 통로 확보, 조명 상태, 안내·위험표지, 대피로 확보, 통행장소 점검, 안전일지 기록 등이 충분히 답변에 반영되지 않아 답변정확도와 실무성을 일부 감점하였다.; 총점 80점 미만 또는 세부 기준 15점 미만으로 수동 검토 권장</x:v>
      </x:c>
    </x:row>
    <x:row r="28" ht="42" customHeight="1">
      <x:c r="A28" s="13" t="str">
        <x:v>Q027</x:v>
      </x:c>
      <x:c r="B28" s="13" t="str">
        <x:v>비상대응</x:v>
      </x:c>
      <x:c r="C28" s="13" t="n">
        <x:v>4</x:v>
      </x:c>
      <x:c r="D28" s="13" t="n">
        <x:v>4</x:v>
      </x:c>
      <x:c r="E28" s="13" t="n">
        <x:v>4</x:v>
      </x:c>
      <x:c r="F28" s="13" t="n">
        <x:v>5</x:v>
      </x:c>
      <x:c r="G28" s="13" t="n">
        <x:v>4</x:v>
      </x:c>
      <x:c r="H28" s="13" t="n">
        <x:v>20</x:v>
      </x:c>
      <x:c r="I28" s="13" t="n">
        <x:v>23</x:v>
      </x:c>
      <x:c r="J28" s="13" t="n">
        <x:v>20</x:v>
      </x:c>
      <x:c r="K28" s="13" t="n">
        <x:v>20</x:v>
      </x:c>
      <x:c r="L28" s="13" t="n">
        <x:v>83</x:v>
      </x:c>
      <x:c r="M28" s="16" t="str">
        <x:v>우수</x:v>
      </x:c>
      <x:c r="N28" s="13" t="str">
        <x:v>N</x:v>
      </x:c>
      <x:c r="O28" s="13" t="str">
        <x:v>기존 수동평가 환산: 검색정확도 4.0/5×5; 근거성 4.0/5와 환각억제 5.0/5 평균×5; 답변정확도 4.0/5×5; 실무성 4.0/5×5; 기존 메모: 갱내 화재 또는 연기 발생 가능성이 있는 상황에 대해 시스템은 화재/폭발 유형으로 적절히 분류하고, 작업중지, 작업자 대피, 비상연락, 신고, 인원 확인, 안전이 확보되는 범위의 초기 대응 등 기본적인 비상대응 절차를 제시하였다. 검색 결과에는 안전보건관리체계 구축 가이드북과 광산안전기술기준이 포함되었으며, 광산안전기술기준에서 발화성물질 관리, 화재감지기, 소화시설, 통신시설 관련 내용이 검색되어 관련성이 있다. 다만 답변에서 대피로 확보, 연기·유해가스 흡입 방지, 환기 조절, 재진입 금지, 구조 요청, 소화시설 사용 기준 등이 더 구체적으로 제시되면 실무성이 더욱 향상될 수 있다.; 기존 수동평가 점수가 모두 확인되어 표준 환산 완료</x:v>
      </x:c>
    </x:row>
    <x:row r="29" ht="42" customHeight="1">
      <x:c r="A29" s="13" t="str">
        <x:v>Q028</x:v>
      </x:c>
      <x:c r="B29" s="13" t="str">
        <x:v>분진/건강장해</x:v>
      </x:c>
      <x:c r="C29" s="13" t="n">
        <x:v>4</x:v>
      </x:c>
      <x:c r="D29" s="13" t="n">
        <x:v>2</x:v>
      </x:c>
      <x:c r="E29" s="13" t="n">
        <x:v>3</x:v>
      </x:c>
      <x:c r="F29" s="13" t="n">
        <x:v>5</x:v>
      </x:c>
      <x:c r="G29" s="13" t="n">
        <x:v>2</x:v>
      </x:c>
      <x:c r="H29" s="13" t="n">
        <x:v>20</x:v>
      </x:c>
      <x:c r="I29" s="13" t="n">
        <x:v>20</x:v>
      </x:c>
      <x:c r="J29" s="13" t="n">
        <x:v>10</x:v>
      </x:c>
      <x:c r="K29" s="13" t="n">
        <x:v>10</x:v>
      </x:c>
      <x:c r="L29" s="13" t="n">
        <x:v>60</x:v>
      </x:c>
      <x:c r="M29" s="16" t="str">
        <x:v>보완 필요</x:v>
      </x:c>
      <x:c r="N29" s="13" t="str">
        <x:v>Y</x:v>
      </x:c>
      <x:c r="O29" s="13" t="str">
        <x:v>기존 수동평가 환산: 검색정확도 4.0/5×5; 근거성 3.0/5와 환각억제 5.0/5 평균×5; 답변정확도 2.0/5×5; 실무성 2.0/5×5; 기존 메모: 굴진과 파쇄 작업에서 분진 노출을 줄이기 위해 작업 전후 확인해야 할 사항을 묻는 질문이었으나, 시스템은 이를 분진/보호구/작업환경관리 유형이 아니라 발파/불발 유형으로 분류하였다. 답변은 불발 의심 장소 접근 금지, 위험구역 출입통제, 발파 책임자 확인, 불발화약류 확인 등 발파 관련 조치 위주로 제시되어 질문의 핵심인 분진 발생원 관리, 살수·집진·환기, 방진마스크 또는 호흡보호구 착용 확인, 작업환경측정, 노출 기준 초과 여부 확인, 작업 후 분진 제거와 기록 관리가 충분히 반영되지 않았다. 검색 결과에는 광산안전기술기준, 광산안전업무 처리지침, 광산안전법 시행규칙이 포함되어 광산 작업과의 관련성은 있으나, 답변 템플릿이 잘못 적용되어 답변정확도와 실무성을 감점하였다.; 총점 80점 미만 또는 세부 기준 15점 미만으로 수동 검토 권장</x:v>
      </x:c>
    </x:row>
    <x:row r="30" ht="42" customHeight="1">
      <x:c r="A30" s="13" t="str">
        <x:v>Q029</x:v>
      </x:c>
      <x:c r="B30" s="13" t="str">
        <x:v>관리감독자 역할</x:v>
      </x:c>
      <x:c r="C30" s="13" t="n">
        <x:v>5</x:v>
      </x:c>
      <x:c r="D30" s="13" t="n">
        <x:v>3</x:v>
      </x:c>
      <x:c r="E30" s="13" t="n">
        <x:v>5</x:v>
      </x:c>
      <x:c r="F30" s="13" t="n">
        <x:v>5</x:v>
      </x:c>
      <x:c r="G30" s="13" t="n">
        <x:v>3</x:v>
      </x:c>
      <x:c r="H30" s="13" t="n">
        <x:v>25</x:v>
      </x:c>
      <x:c r="I30" s="13" t="n">
        <x:v>25</x:v>
      </x:c>
      <x:c r="J30" s="13" t="n">
        <x:v>15</x:v>
      </x:c>
      <x:c r="K30" s="13" t="n">
        <x:v>15</x:v>
      </x:c>
      <x:c r="L30" s="13" t="n">
        <x:v>80</x:v>
      </x:c>
      <x:c r="M30" s="16" t="str">
        <x:v>우수</x:v>
      </x:c>
      <x:c r="N30" s="13" t="str">
        <x:v>N</x:v>
      </x:c>
      <x:c r="O30" s="13" t="str">
        <x:v>기존 수동평가 환산: 검색정확도 5.0/5×5; 근거성 5.0/5와 환각억제 5.0/5 평균×5; 답변정확도 3.0/5×5; 실무성 3.0/5×5; 기존 메모: 현장 관리감독자가 매일 작업 시작 전 실시해야 할 광산 안전 점검회의 구성을 묻는 질문에 대해 시스템은 위험성평가 안내서, 광산안전기술기준, 광산안전법 시행규칙을 검색하였다. 특히 위험성평가 안내서에서 작업 전 안전점검회의, 매 작업일마다 유의해야 할 유해·위험요인 전달, 근로자 주의사항 공유, 회의 실시 기록 및 참여 입증 관련 내용이 검색되어 질문과의 직접 관련성이 높다. 다만 답변은 일반 광산 안전 유형으로 분류되어 작업중지, 출입통제, 대피 등 일반 조치 위주로 제시되었고, 실제 회의 구성 항목인 당일 작업 내용, 주요 위험요인, 보호구 착용, 낙반·환기·발파·운반·전기 위험, 대피로, 비상연락망, 작업자 역할, 전일 지적사항, 참석자 기록 등을 체계적으로 제시하지 못하였다. 따라서 검색정확도와 근거성은 높지만 답변정확도와 실무성은 일부 감점하였다.; 기존 수동평가 점수가 모두 확인되어 표준 환산 완료</x:v>
      </x:c>
    </x:row>
    <x:row r="31" ht="42" customHeight="1">
      <x:c r="A31" s="13" t="str">
        <x:v>Q030</x:v>
      </x:c>
      <x:c r="B31" s="13" t="str">
        <x:v>종합 시나리오</x:v>
      </x:c>
      <x:c r="C31" s="13" t="n">
        <x:v>4</x:v>
      </x:c>
      <x:c r="D31" s="13" t="n">
        <x:v>3</x:v>
      </x:c>
      <x:c r="E31" s="13" t="n">
        <x:v>3</x:v>
      </x:c>
      <x:c r="F31" s="13" t="n">
        <x:v>5</x:v>
      </x:c>
      <x:c r="G31" s="13" t="n">
        <x:v>3</x:v>
      </x:c>
      <x:c r="H31" s="13" t="n">
        <x:v>20</x:v>
      </x:c>
      <x:c r="I31" s="13" t="n">
        <x:v>20</x:v>
      </x:c>
      <x:c r="J31" s="13" t="n">
        <x:v>15</x:v>
      </x:c>
      <x:c r="K31" s="13" t="n">
        <x:v>15</x:v>
      </x:c>
      <x:c r="L31" s="13" t="n">
        <x:v>70</x:v>
      </x:c>
      <x:c r="M31" s="16" t="str">
        <x:v>보통</x:v>
      </x:c>
      <x:c r="N31" s="13" t="str">
        <x:v>Y</x:v>
      </x:c>
      <x:c r="O31" s="13" t="str">
        <x:v>기존 수동평가 환산: 검색정확도 4.0/5×5; 근거성 3.0/5와 환각억제 5.0/5 평균×5; 답변정확도 3.0/5×5; 실무성 3.0/5×5; 기존 메모: 발파 후 환기가 충분하지 않고 운반차량까지 투입해야 하는 복합 작업 상황에서 위험 통제 순서를 묻는 질문에 대해 시스템은 발파/불발 유형으로 분류하고, 불발 의심 장소 접근 금지, 위험구역 출입통제, 발파 책임자 확인, 불발 여부 확인 전 작업 재개 금지, 후가스·메탄가스·낙반·부석 확인 등 발파 후 재출입 관련 조치를 제시하였다. 이는 질문의 일부와는 관련성이 있으나, 질문의 핵심인 환기 불충분 상태에서의 유해가스·산소농도 측정, 환기설비 확인, 운반차량 투입 전 통행로·작업자 위치·신호체계 확인, 차량과 보행자 동선 분리, 단계별 작업 재개 승인 등 복합위험 통제 순서가 충분히 반영되지 않았다. 검색 결과는 광산안전기술기준, 광산안전법 시행규칙, 광산안전업무 처리지침 등 광산 특화 문서가 포함되어 기본 관련성은 있으나, 환기·유해가스 및 운반장비 관련 직접 근거가 함께 검색되면 근거성이 더 높아질 수 있다.; 총점 80점 미만 또는 세부 기준 15점 미만으로 수동 검토 권장</x:v>
      </x:c>
    </x:row>
  </x:sheetData>
  <x:conditionalFormatting sqref="H2:H31">
    <x:cfRule type="cellIs" dxfId="34" priority="1" operator="greaterThanOrEqual">
      <x:formula>21</x:formula>
    </x:cfRule>
    <x:cfRule type="cellIs" dxfId="35" priority="2" operator="between">
      <x:formula>18</x:formula>
      <x:formula>20</x:formula>
    </x:cfRule>
    <x:cfRule type="cellIs" dxfId="36" priority="3" operator="lessThan">
      <x:formula>18</x:formula>
    </x:cfRule>
  </x:conditionalFormatting>
  <x:conditionalFormatting sqref="I2:I31">
    <x:cfRule type="cellIs" dxfId="37" priority="4" operator="greaterThanOrEqual">
      <x:formula>21</x:formula>
    </x:cfRule>
    <x:cfRule type="cellIs" dxfId="38" priority="5" operator="between">
      <x:formula>18</x:formula>
      <x:formula>20</x:formula>
    </x:cfRule>
    <x:cfRule type="cellIs" dxfId="39" priority="6" operator="lessThan">
      <x:formula>18</x:formula>
    </x:cfRule>
  </x:conditionalFormatting>
  <x:conditionalFormatting sqref="J2:J31">
    <x:cfRule type="cellIs" dxfId="40" priority="7" operator="greaterThanOrEqual">
      <x:formula>21</x:formula>
    </x:cfRule>
    <x:cfRule type="cellIs" dxfId="41" priority="8" operator="between">
      <x:formula>18</x:formula>
      <x:formula>20</x:formula>
    </x:cfRule>
    <x:cfRule type="cellIs" dxfId="42" priority="9" operator="lessThan">
      <x:formula>18</x:formula>
    </x:cfRule>
  </x:conditionalFormatting>
  <x:conditionalFormatting sqref="K2:K31">
    <x:cfRule type="cellIs" dxfId="43" priority="10" operator="greaterThanOrEqual">
      <x:formula>21</x:formula>
    </x:cfRule>
    <x:cfRule type="cellIs" dxfId="44" priority="11" operator="between">
      <x:formula>18</x:formula>
      <x:formula>20</x:formula>
    </x:cfRule>
    <x:cfRule type="cellIs" dxfId="45" priority="12" operator="lessThan">
      <x:formula>18</x:formula>
    </x:cfRule>
  </x:conditionalFormatting>
  <x:conditionalFormatting sqref="L2:L31">
    <x:cfRule type="cellIs" dxfId="46" priority="13" operator="greaterThanOrEqual">
      <x:formula>85</x:formula>
    </x:cfRule>
    <x:cfRule type="cellIs" dxfId="47" priority="14" operator="between">
      <x:formula>70</x:formula>
      <x:formula>84</x:formula>
    </x:cfRule>
    <x:cfRule type="cellIs" dxfId="48" priority="15" operator="lessThan">
      <x:formula>70</x:formula>
    </x:cfRule>
  </x:conditionalFormatting>
  <x:conditionalFormatting sqref="N2:N31">
    <x:cfRule type="containsText" dxfId="49" priority="16" operator="containsText" text="Y"/>
    <x:cfRule type="containsText" dxfId="50" priority="17" operator="containsText" text="N"/>
  </x:conditionalFormatting>
  <x:pageMargins left="0.7" right="0.7" top="0.75" bottom="0.75" header="0.3" footer="0.3"/>
  <x:tableParts count="1">
    <x:tablePart xmlns:r="http://schemas.openxmlformats.org/officeDocument/2006/relationships" r:id="Rd7b55fa18c224ccd"/>
  </x:tableParts>
</x:worksheet>
</file>